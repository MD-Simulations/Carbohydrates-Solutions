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950e21d3b7949e/Desktop/"/>
    </mc:Choice>
  </mc:AlternateContent>
  <xr:revisionPtr revIDLastSave="49" documentId="13_ncr:1_{B64288ED-1ABB-4DD1-A26E-ACB898D5B472}" xr6:coauthVersionLast="47" xr6:coauthVersionMax="47" xr10:uidLastSave="{E84D5FE1-D9C1-4D23-BD28-D42CC844FD33}"/>
  <bookViews>
    <workbookView xWindow="-120" yWindow="-120" windowWidth="29040" windowHeight="15720" activeTab="1" xr2:uid="{086C9CD3-C829-4A3D-9A0F-FEADDFB45044}"/>
  </bookViews>
  <sheets>
    <sheet name="Glucosa" sheetId="3" r:id="rId1"/>
    <sheet name="Sacarosa" sheetId="2" r:id="rId2"/>
    <sheet name="Threalosa" sheetId="1" r:id="rId3"/>
    <sheet name="Anneling" sheetId="4" state="hidden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2" i="1" l="1"/>
  <c r="V48" i="2"/>
  <c r="V47" i="2"/>
  <c r="V46" i="2"/>
  <c r="V45" i="2"/>
  <c r="V29" i="2"/>
  <c r="V28" i="2"/>
  <c r="V27" i="2"/>
  <c r="V26" i="2"/>
  <c r="H41" i="1"/>
  <c r="H40" i="1"/>
  <c r="H39" i="1"/>
  <c r="H23" i="1"/>
  <c r="H22" i="1"/>
  <c r="H8" i="1"/>
  <c r="H21" i="1"/>
  <c r="H7" i="1"/>
  <c r="H20" i="1"/>
  <c r="H6" i="1"/>
  <c r="H5" i="1"/>
  <c r="H39" i="2"/>
  <c r="H38" i="2"/>
  <c r="H37" i="2"/>
  <c r="H36" i="2"/>
  <c r="W78" i="2"/>
  <c r="W77" i="2"/>
  <c r="W76" i="2"/>
  <c r="W75" i="2"/>
  <c r="H23" i="2"/>
  <c r="H22" i="2"/>
  <c r="H21" i="2"/>
  <c r="H20" i="2"/>
  <c r="V9" i="2"/>
  <c r="V8" i="2"/>
  <c r="H8" i="2"/>
  <c r="V7" i="2"/>
  <c r="H7" i="2"/>
  <c r="V6" i="2"/>
  <c r="H6" i="2"/>
  <c r="H5" i="2"/>
  <c r="V32" i="3"/>
  <c r="V31" i="3"/>
  <c r="V30" i="3"/>
  <c r="V29" i="3"/>
  <c r="V9" i="3"/>
  <c r="V8" i="3"/>
  <c r="V7" i="3"/>
  <c r="V6" i="3"/>
  <c r="H39" i="3"/>
  <c r="H38" i="3"/>
  <c r="H37" i="3"/>
  <c r="H36" i="3"/>
  <c r="H23" i="3"/>
  <c r="H22" i="3"/>
  <c r="H21" i="3"/>
  <c r="H20" i="3"/>
  <c r="H8" i="3"/>
  <c r="H7" i="3"/>
  <c r="H6" i="3"/>
  <c r="H5" i="3"/>
</calcChain>
</file>

<file path=xl/sharedStrings.xml><?xml version="1.0" encoding="utf-8"?>
<sst xmlns="http://schemas.openxmlformats.org/spreadsheetml/2006/main" count="102" uniqueCount="28">
  <si>
    <t>Temperatura</t>
  </si>
  <si>
    <t>Densidad  SIM</t>
  </si>
  <si>
    <t>°C</t>
  </si>
  <si>
    <t>K</t>
  </si>
  <si>
    <r>
      <t>(kg/m</t>
    </r>
    <r>
      <rPr>
        <b/>
        <vertAlign val="superscript"/>
        <sz val="15"/>
        <color theme="1"/>
        <rFont val="Calibri"/>
        <family val="2"/>
        <scheme val="minor"/>
      </rPr>
      <t>3</t>
    </r>
    <r>
      <rPr>
        <b/>
        <sz val="15"/>
        <color theme="1"/>
        <rFont val="Calibri"/>
        <family val="2"/>
        <scheme val="minor"/>
      </rPr>
      <t>)</t>
    </r>
  </si>
  <si>
    <r>
      <t>(kg/m</t>
    </r>
    <r>
      <rPr>
        <b/>
        <vertAlign val="superscript"/>
        <sz val="15"/>
        <color rgb="FF000000"/>
        <rFont val="Calibri"/>
        <family val="2"/>
      </rPr>
      <t>3</t>
    </r>
    <r>
      <rPr>
        <b/>
        <sz val="15"/>
        <color rgb="FF000000"/>
        <rFont val="Calibri"/>
        <family val="2"/>
      </rPr>
      <t>)</t>
    </r>
  </si>
  <si>
    <t>Tensión Superficial SIM</t>
  </si>
  <si>
    <t>10 % (mN/m)</t>
  </si>
  <si>
    <t>20 % (mN/m)</t>
  </si>
  <si>
    <t>Tensión Superficial</t>
  </si>
  <si>
    <t>30 % (mN/m)</t>
  </si>
  <si>
    <r>
      <t>10 % (kg/m</t>
    </r>
    <r>
      <rPr>
        <b/>
        <vertAlign val="superscript"/>
        <sz val="15"/>
        <color theme="1"/>
        <rFont val="Calibri"/>
        <family val="2"/>
        <scheme val="minor"/>
      </rPr>
      <t>3</t>
    </r>
    <r>
      <rPr>
        <b/>
        <sz val="15"/>
        <color theme="1"/>
        <rFont val="Calibri"/>
        <family val="2"/>
        <scheme val="minor"/>
      </rPr>
      <t>)</t>
    </r>
  </si>
  <si>
    <t xml:space="preserve">Viscosity SIM </t>
  </si>
  <si>
    <t>30% (cp)</t>
  </si>
  <si>
    <t>20% (cp)</t>
  </si>
  <si>
    <t>10% (cp)</t>
  </si>
  <si>
    <t>Viscosity SIM</t>
  </si>
  <si>
    <t>10%  (cp)</t>
  </si>
  <si>
    <t>20%  (cp)</t>
  </si>
  <si>
    <t>Glucose 10 %</t>
  </si>
  <si>
    <t>Glucose 20 %</t>
  </si>
  <si>
    <t>Glucose 30 %</t>
  </si>
  <si>
    <r>
      <t>20 % (kg/m</t>
    </r>
    <r>
      <rPr>
        <b/>
        <vertAlign val="superscript"/>
        <sz val="15"/>
        <color theme="1"/>
        <rFont val="Calibri"/>
        <family val="2"/>
        <scheme val="minor"/>
      </rPr>
      <t>3</t>
    </r>
    <r>
      <rPr>
        <b/>
        <sz val="15"/>
        <color theme="1"/>
        <rFont val="Calibri"/>
        <family val="2"/>
        <scheme val="minor"/>
      </rPr>
      <t>)</t>
    </r>
  </si>
  <si>
    <r>
      <t>30 % (kg/m</t>
    </r>
    <r>
      <rPr>
        <b/>
        <vertAlign val="superscript"/>
        <sz val="15"/>
        <color theme="1"/>
        <rFont val="Calibri"/>
        <family val="2"/>
        <scheme val="minor"/>
      </rPr>
      <t>3</t>
    </r>
    <r>
      <rPr>
        <b/>
        <sz val="15"/>
        <color theme="1"/>
        <rFont val="Calibri"/>
        <family val="2"/>
        <scheme val="minor"/>
      </rPr>
      <t>)</t>
    </r>
  </si>
  <si>
    <t>Viscosity  (SIM)</t>
  </si>
  <si>
    <t xml:space="preserve">Viscosity (SIM) </t>
  </si>
  <si>
    <t>Temperature</t>
  </si>
  <si>
    <t>Density 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</si>
</sst>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vertAlign val="superscript"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b/>
      <vertAlign val="superscript"/>
      <sz val="15"/>
      <color rgb="FF000000"/>
      <name val="Calibri"/>
      <family val="2"/>
    </font>
    <font>
      <b/>
      <sz val="14"/>
      <color rgb="FF000000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9" fontId="1" fillId="5" borderId="4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9" fontId="1" fillId="6" borderId="4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0" fillId="0" borderId="0" xfId="0" applyBorder="1"/>
    <xf numFmtId="2" fontId="3" fillId="0" borderId="0" xfId="0" applyNumberFormat="1" applyFont="1" applyFill="1" applyBorder="1" applyAlignment="1">
      <alignment horizontal="center" vertical="center"/>
    </xf>
    <xf numFmtId="0" fontId="4" fillId="0" borderId="0" xfId="0" quotePrefix="1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7" fillId="0" borderId="0" xfId="0" applyFont="1" applyBorder="1" applyAlignment="1">
      <alignment vertical="center" readingOrder="1"/>
    </xf>
    <xf numFmtId="0" fontId="3" fillId="0" borderId="0" xfId="0" quotePrefix="1" applyFont="1" applyFill="1" applyBorder="1" applyAlignment="1">
      <alignment horizontal="center"/>
    </xf>
    <xf numFmtId="0" fontId="4" fillId="0" borderId="0" xfId="0" quotePrefix="1" applyFont="1" applyFill="1" applyBorder="1" applyAlignment="1">
      <alignment horizontal="center"/>
    </xf>
    <xf numFmtId="0" fontId="3" fillId="3" borderId="5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tx1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Glucose 10 %</a:t>
            </a:r>
          </a:p>
        </c:rich>
      </c:tx>
      <c:layout>
        <c:manualLayout>
          <c:xMode val="edge"/>
          <c:yMode val="edge"/>
          <c:x val="0.40346191889218597"/>
          <c:y val="2.8520499108734401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733803732324568"/>
          <c:y val="0.12464749392956896"/>
          <c:w val="0.7915853950426841"/>
          <c:h val="0.68480525495810352"/>
        </c:manualLayout>
      </c:layout>
      <c:scatterChart>
        <c:scatterStyle val="smoothMarker"/>
        <c:varyColors val="0"/>
        <c:ser>
          <c:idx val="0"/>
          <c:order val="0"/>
          <c:tx>
            <c:v>Simulation Results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Glucosa!$H$5:$H$8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Glucosa!$I$5:$I$8</c:f>
              <c:numCache>
                <c:formatCode>General</c:formatCode>
                <c:ptCount val="4"/>
                <c:pt idx="0">
                  <c:v>1036.8499999999999</c:v>
                </c:pt>
                <c:pt idx="1">
                  <c:v>1035</c:v>
                </c:pt>
                <c:pt idx="2">
                  <c:v>1033.47</c:v>
                </c:pt>
                <c:pt idx="3">
                  <c:v>1031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D0-4C65-B10D-A93B63D19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Density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(kg/m</a:t>
                </a:r>
                <a:r>
                  <a:rPr lang="es-MX" sz="1400" b="1" baseline="3000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3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836790158336302E-2"/>
              <c:y val="0.147777771211267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236551250111416"/>
          <c:y val="0.51098236664078966"/>
          <c:w val="0.30969854917841527"/>
          <c:h val="0.26981420280211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tx1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Glucose</a:t>
            </a:r>
            <a:r>
              <a:rPr lang="es-MX" b="1" baseline="0">
                <a:solidFill>
                  <a:schemeClr val="tx1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 20 %</a:t>
            </a:r>
            <a:endParaRPr lang="es-MX" b="1">
              <a:solidFill>
                <a:schemeClr val="tx1"/>
              </a:solidFill>
              <a:latin typeface="Courier New" panose="02070309020205020404" pitchFamily="49" charset="0"/>
              <a:cs typeface="Courier New" panose="02070309020205020404" pitchFamily="49" charset="0"/>
            </a:endParaRPr>
          </a:p>
        </c:rich>
      </c:tx>
      <c:layout>
        <c:manualLayout>
          <c:xMode val="edge"/>
          <c:yMode val="edge"/>
          <c:x val="0.39679952856705319"/>
          <c:y val="2.71416454622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7581714785651795"/>
          <c:y val="0.10181643325118711"/>
          <c:w val="0.77462729658792651"/>
          <c:h val="0.692612583732377"/>
        </c:manualLayout>
      </c:layout>
      <c:scatterChart>
        <c:scatterStyle val="smoothMarker"/>
        <c:varyColors val="0"/>
        <c:ser>
          <c:idx val="0"/>
          <c:order val="0"/>
          <c:tx>
            <c:v>Simulation Results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Glucosa!$H$20:$H$23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Glucosa!$I$20:$I$23</c:f>
              <c:numCache>
                <c:formatCode>General</c:formatCode>
                <c:ptCount val="4"/>
                <c:pt idx="0">
                  <c:v>1079.23</c:v>
                </c:pt>
                <c:pt idx="1">
                  <c:v>1078.69</c:v>
                </c:pt>
                <c:pt idx="2">
                  <c:v>1075.07</c:v>
                </c:pt>
                <c:pt idx="3">
                  <c:v>1074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D0-414F-9115-749DF6F0E54E}"/>
            </c:ext>
          </c:extLst>
        </c:ser>
        <c:ser>
          <c:idx val="1"/>
          <c:order val="1"/>
          <c:tx>
            <c:v>Peijim Ji et al.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Glucosa!$H$25:$H$28</c:f>
              <c:numCache>
                <c:formatCode>General</c:formatCode>
                <c:ptCount val="4"/>
              </c:numCache>
            </c:numRef>
          </c:xVal>
          <c:yVal>
            <c:numRef>
              <c:f>Glucosa!$J$27:$J$30</c:f>
              <c:numCache>
                <c:formatCode>General</c:formatCode>
                <c:ptCount val="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D0-414F-9115-749DF6F0E54E}"/>
            </c:ext>
          </c:extLst>
        </c:ser>
        <c:ser>
          <c:idx val="2"/>
          <c:order val="2"/>
          <c:tx>
            <c:v>R. Darros-Barbosa et al.</c:v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diamond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Glucosa!$H$20:$H$23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Glucosa!$K$21:$K$25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D0-414F-9115-749DF6F0E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Density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(kg/m</a:t>
                </a:r>
                <a:r>
                  <a:rPr lang="es-MX" sz="1400" b="1" baseline="3000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3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836790158336302E-2"/>
              <c:y val="0.14777777121126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236551250111416"/>
          <c:y val="0.59361147462201025"/>
          <c:w val="0.30131545696990902"/>
          <c:h val="0.1483967320986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tx1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Glucose 30 %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7581714785651795"/>
          <c:y val="0.10689297171186933"/>
          <c:w val="0.77462729658792651"/>
          <c:h val="0.687536243154791"/>
        </c:manualLayout>
      </c:layout>
      <c:scatterChart>
        <c:scatterStyle val="smoothMarker"/>
        <c:varyColors val="0"/>
        <c:ser>
          <c:idx val="0"/>
          <c:order val="0"/>
          <c:tx>
            <c:v>Simulation Results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Glucosa!$H$36:$H$39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Glucosa!$I$36:$I$39</c:f>
              <c:numCache>
                <c:formatCode>General</c:formatCode>
                <c:ptCount val="4"/>
                <c:pt idx="0">
                  <c:v>1124.3699999999999</c:v>
                </c:pt>
                <c:pt idx="1">
                  <c:v>1122.75</c:v>
                </c:pt>
                <c:pt idx="2">
                  <c:v>1119.79</c:v>
                </c:pt>
                <c:pt idx="3">
                  <c:v>1117.97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BD-446C-98FC-2D839B7D2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Density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(kg/m</a:t>
                </a:r>
                <a:r>
                  <a:rPr lang="es-MX" sz="1400" b="1" baseline="3000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3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836790158336302E-2"/>
              <c:y val="0.14777777121126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236551250111416"/>
          <c:y val="0.59361147462201025"/>
          <c:w val="0.30131545696990902"/>
          <c:h val="0.1483967320986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10400393177945"/>
          <c:y val="5.0925925925925923E-2"/>
          <c:w val="0.85962062511110404"/>
          <c:h val="0.84758186872210595"/>
        </c:manualLayout>
      </c:layout>
      <c:scatterChart>
        <c:scatterStyle val="lineMarker"/>
        <c:varyColors val="0"/>
        <c:ser>
          <c:idx val="0"/>
          <c:order val="0"/>
          <c:tx>
            <c:v>Simulation Results 10%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Glucosa!$V$6:$V$9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Glucosa!$W$6:$W$9</c:f>
              <c:numCache>
                <c:formatCode>General</c:formatCode>
                <c:ptCount val="4"/>
                <c:pt idx="0">
                  <c:v>1.21</c:v>
                </c:pt>
                <c:pt idx="1">
                  <c:v>1.1100000000000001</c:v>
                </c:pt>
                <c:pt idx="2">
                  <c:v>0.97</c:v>
                </c:pt>
                <c:pt idx="3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7-46AD-8034-5E200DCAE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  <c:extLst/>
      </c:scatterChart>
      <c:scatterChart>
        <c:scatterStyle val="smoothMarker"/>
        <c:varyColors val="0"/>
        <c:ser>
          <c:idx val="1"/>
          <c:order val="1"/>
          <c:tx>
            <c:v>Simulation Results 20%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Glucosa!$V$6:$V$9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Glucosa!$X$6:$X$9</c:f>
              <c:numCache>
                <c:formatCode>General</c:formatCode>
                <c:ptCount val="4"/>
                <c:pt idx="0">
                  <c:v>1.48</c:v>
                </c:pt>
                <c:pt idx="1">
                  <c:v>1.33</c:v>
                </c:pt>
                <c:pt idx="2">
                  <c:v>1.21</c:v>
                </c:pt>
                <c:pt idx="3">
                  <c:v>1.08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C7-46AD-8034-5E200DCAE3C6}"/>
            </c:ext>
          </c:extLst>
        </c:ser>
        <c:ser>
          <c:idx val="2"/>
          <c:order val="2"/>
          <c:tx>
            <c:v>Simulation Results30%</c:v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diamond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Glucosa!$V$6:$V$9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Glucosa!$Y$6:$Y$9</c:f>
              <c:numCache>
                <c:formatCode>General</c:formatCode>
                <c:ptCount val="4"/>
                <c:pt idx="0">
                  <c:v>1.99</c:v>
                </c:pt>
                <c:pt idx="1">
                  <c:v>1.77</c:v>
                </c:pt>
                <c:pt idx="2">
                  <c:v>1.55</c:v>
                </c:pt>
                <c:pt idx="3">
                  <c:v>1.43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C7-46AD-8034-5E200DCAE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Viscosity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(cp)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5711850759690896E-2"/>
              <c:y val="0.324992856905545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153726363772311"/>
          <c:y val="0.54376163206871864"/>
          <c:w val="0.30237788056453652"/>
          <c:h val="0.33262427423844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20920705262377"/>
          <c:y val="3.4861756738239054E-2"/>
          <c:w val="0.87260338319443276"/>
          <c:h val="0.80206642844343257"/>
        </c:manualLayout>
      </c:layout>
      <c:scatterChart>
        <c:scatterStyle val="lineMarker"/>
        <c:varyColors val="0"/>
        <c:ser>
          <c:idx val="0"/>
          <c:order val="0"/>
          <c:tx>
            <c:v>Simulation Results 10%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Glucosa!$V$29:$V$32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Glucosa!$W$29:$W$32</c:f>
              <c:numCache>
                <c:formatCode>General</c:formatCode>
                <c:ptCount val="4"/>
                <c:pt idx="0">
                  <c:v>73.48</c:v>
                </c:pt>
                <c:pt idx="1">
                  <c:v>71.459999999999994</c:v>
                </c:pt>
                <c:pt idx="2">
                  <c:v>70.319999999999993</c:v>
                </c:pt>
                <c:pt idx="3">
                  <c:v>69.569999999999993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B-4CAD-A761-9CE6BB922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  <c:extLst/>
      </c:scatterChart>
      <c:scatterChart>
        <c:scatterStyle val="smoothMarker"/>
        <c:varyColors val="0"/>
        <c:ser>
          <c:idx val="1"/>
          <c:order val="1"/>
          <c:tx>
            <c:v>Simulation Results 20%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Glucosa!$V$29:$V$32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Glucosa!$X$29:$X$32</c:f>
              <c:numCache>
                <c:formatCode>General</c:formatCode>
                <c:ptCount val="4"/>
                <c:pt idx="0">
                  <c:v>74.08</c:v>
                </c:pt>
                <c:pt idx="1">
                  <c:v>73.23</c:v>
                </c:pt>
                <c:pt idx="2">
                  <c:v>71.489999999999995</c:v>
                </c:pt>
                <c:pt idx="3">
                  <c:v>71.430000000000007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6B-4CAD-A761-9CE6BB92213C}"/>
            </c:ext>
          </c:extLst>
        </c:ser>
        <c:ser>
          <c:idx val="2"/>
          <c:order val="2"/>
          <c:tx>
            <c:v>Simulation Results 30%</c:v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diamond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Glucosa!$V$29:$V$32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Glucosa!$Y$29:$Y$32</c:f>
              <c:numCache>
                <c:formatCode>General</c:formatCode>
                <c:ptCount val="4"/>
                <c:pt idx="0">
                  <c:v>75.27</c:v>
                </c:pt>
                <c:pt idx="1">
                  <c:v>76.259</c:v>
                </c:pt>
                <c:pt idx="2">
                  <c:v>73.16</c:v>
                </c:pt>
                <c:pt idx="3">
                  <c:v>71.44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6B-4CAD-A761-9CE6BB922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Surface tension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(mNm)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830840278363452E-2"/>
              <c:y val="0.164350209235893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102875894164638"/>
          <c:y val="0.54592185013017958"/>
          <c:w val="0.3038323316094364"/>
          <c:h val="0.27959400644539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tx1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Sucrose 10 %</a:t>
            </a:r>
          </a:p>
        </c:rich>
      </c:tx>
      <c:layout>
        <c:manualLayout>
          <c:xMode val="edge"/>
          <c:yMode val="edge"/>
          <c:x val="0.40346191889218597"/>
          <c:y val="2.8520499108734401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733803732324568"/>
          <c:y val="0.12464749392956896"/>
          <c:w val="0.7915853950426841"/>
          <c:h val="0.68480525495810352"/>
        </c:manualLayout>
      </c:layout>
      <c:scatterChart>
        <c:scatterStyle val="smoothMarker"/>
        <c:varyColors val="0"/>
        <c:ser>
          <c:idx val="0"/>
          <c:order val="0"/>
          <c:tx>
            <c:v>Simulation Results</c:v>
          </c:tx>
          <c:spPr>
            <a:ln w="190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Sacarosa!$H$5:$H$8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Sacarosa!$I$5:$I$8</c:f>
              <c:numCache>
                <c:formatCode>0.00</c:formatCode>
                <c:ptCount val="4"/>
                <c:pt idx="0">
                  <c:v>1037.57</c:v>
                </c:pt>
                <c:pt idx="1">
                  <c:v>1036.1400000000001</c:v>
                </c:pt>
                <c:pt idx="2">
                  <c:v>1034.48</c:v>
                </c:pt>
                <c:pt idx="3">
                  <c:v>1032.49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77-4D0B-B68D-156015F37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  <c:max val="1040"/>
          <c:min val="103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Density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(kg/m</a:t>
                </a:r>
                <a:r>
                  <a:rPr lang="es-MX" sz="1400" b="1" baseline="3000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3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836790158336302E-2"/>
              <c:y val="0.147777771211267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236551250111416"/>
          <c:y val="0.51098236664078966"/>
          <c:w val="0.45537380665049648"/>
          <c:h val="0.26981420280211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tx1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Sucrose</a:t>
            </a:r>
            <a:r>
              <a:rPr lang="es-MX" b="1" baseline="0">
                <a:solidFill>
                  <a:schemeClr val="tx1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 20 %</a:t>
            </a:r>
            <a:endParaRPr lang="es-MX" b="1">
              <a:solidFill>
                <a:schemeClr val="tx1"/>
              </a:solidFill>
              <a:latin typeface="Courier New" panose="02070309020205020404" pitchFamily="49" charset="0"/>
              <a:cs typeface="Courier New" panose="02070309020205020404" pitchFamily="49" charset="0"/>
            </a:endParaRPr>
          </a:p>
        </c:rich>
      </c:tx>
      <c:layout>
        <c:manualLayout>
          <c:xMode val="edge"/>
          <c:yMode val="edge"/>
          <c:x val="0.39679952856705319"/>
          <c:y val="2.71416454622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7581714785651795"/>
          <c:y val="0.10181643325118711"/>
          <c:w val="0.77462729658792651"/>
          <c:h val="0.692612583732377"/>
        </c:manualLayout>
      </c:layout>
      <c:scatterChart>
        <c:scatterStyle val="smoothMarker"/>
        <c:varyColors val="0"/>
        <c:ser>
          <c:idx val="0"/>
          <c:order val="0"/>
          <c:tx>
            <c:v>Simulation Results</c:v>
          </c:tx>
          <c:spPr>
            <a:ln w="190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Sacarosa!$H$20:$H$23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Sacarosa!$I$20:$I$23</c:f>
              <c:numCache>
                <c:formatCode>0.00</c:formatCode>
                <c:ptCount val="4"/>
                <c:pt idx="0">
                  <c:v>1081.03</c:v>
                </c:pt>
                <c:pt idx="1">
                  <c:v>1079.21</c:v>
                </c:pt>
                <c:pt idx="2">
                  <c:v>1077.0999999999999</c:v>
                </c:pt>
                <c:pt idx="3">
                  <c:v>1075.33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12-4BDC-80B2-48DC21C31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Density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(kg/m</a:t>
                </a:r>
                <a:r>
                  <a:rPr lang="es-MX" sz="1400" b="1" baseline="3000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3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836790158336302E-2"/>
              <c:y val="0.14777777121126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843338334932278"/>
          <c:y val="0.5291498674313958"/>
          <c:w val="0.45710703915612844"/>
          <c:h val="0.25017784990616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tx1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Sucrose 30 %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7581714785651795"/>
          <c:y val="0.10689297171186933"/>
          <c:w val="0.77462729658792651"/>
          <c:h val="0.687536243154791"/>
        </c:manualLayout>
      </c:layout>
      <c:scatterChart>
        <c:scatterStyle val="smoothMarker"/>
        <c:varyColors val="0"/>
        <c:ser>
          <c:idx val="0"/>
          <c:order val="0"/>
          <c:tx>
            <c:v>Simulation Results</c:v>
          </c:tx>
          <c:spPr>
            <a:ln w="190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Sacarosa!$H$36:$H$39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Sacarosa!$I$36:$I$39</c:f>
              <c:numCache>
                <c:formatCode>0.00</c:formatCode>
                <c:ptCount val="4"/>
                <c:pt idx="0">
                  <c:v>1127.3599999999999</c:v>
                </c:pt>
                <c:pt idx="1">
                  <c:v>1124.5999999999999</c:v>
                </c:pt>
                <c:pt idx="2">
                  <c:v>1122</c:v>
                </c:pt>
                <c:pt idx="3">
                  <c:v>1120.8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2C-4BBD-B72C-1A4D46B2A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Density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(kg/m</a:t>
                </a:r>
                <a:r>
                  <a:rPr lang="es-MX" sz="1400" b="1" baseline="3000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3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836790158336302E-2"/>
              <c:y val="0.14777777121126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037354330708662"/>
          <c:y val="0.54602495229286485"/>
          <c:w val="0.4794936668952417"/>
          <c:h val="0.23705821938498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r>
              <a:rPr lang="es-MX" sz="1600" b="1">
                <a:solidFill>
                  <a:sysClr val="windowText" lastClr="000000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Sucrose 10% </a:t>
            </a:r>
          </a:p>
        </c:rich>
      </c:tx>
      <c:layout>
        <c:manualLayout>
          <c:xMode val="edge"/>
          <c:yMode val="edge"/>
          <c:x val="0.47665911777409603"/>
          <c:y val="2.3843750215125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410400475884174"/>
          <c:y val="9.8613411869598239E-2"/>
          <c:w val="0.85962062511110404"/>
          <c:h val="0.77075204189490842"/>
        </c:manualLayout>
      </c:layout>
      <c:scatterChart>
        <c:scatterStyle val="lineMarker"/>
        <c:varyColors val="0"/>
        <c:ser>
          <c:idx val="0"/>
          <c:order val="0"/>
          <c:tx>
            <c:v>Simulation Results</c:v>
          </c:tx>
          <c:spPr>
            <a:ln w="190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Sacarosa!$V$6:$V$9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Sacarosa!$W$6:$W$9</c:f>
              <c:numCache>
                <c:formatCode>0.00</c:formatCode>
                <c:ptCount val="4"/>
                <c:pt idx="0">
                  <c:v>1.26</c:v>
                </c:pt>
                <c:pt idx="1">
                  <c:v>1.1100000000000001</c:v>
                </c:pt>
                <c:pt idx="2">
                  <c:v>1.02</c:v>
                </c:pt>
                <c:pt idx="3">
                  <c:v>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7-4165-9726-D77680AC6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  <c:extLst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layout>
            <c:manualLayout>
              <c:xMode val="edge"/>
              <c:yMode val="edge"/>
              <c:x val="0.43544373573210715"/>
              <c:y val="0.921702589790076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  <c:max val="1.45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Viscosity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(cp)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5711850759690896E-2"/>
              <c:y val="0.324992856905545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9166169965806065"/>
          <c:y val="0.59679191999734216"/>
          <c:w val="0.26701446183768862"/>
          <c:h val="0.27959400644539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894324599957548E-2"/>
          <c:y val="8.1093249512185606E-2"/>
          <c:w val="0.87260338319443276"/>
          <c:h val="0.7611896271708356"/>
        </c:manualLayout>
      </c:layout>
      <c:scatterChart>
        <c:scatterStyle val="lineMarker"/>
        <c:varyColors val="0"/>
        <c:ser>
          <c:idx val="0"/>
          <c:order val="0"/>
          <c:tx>
            <c:v>Simulation Results 10%</c:v>
          </c:tx>
          <c:spPr>
            <a:ln w="190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Sacarosa!$W$75:$W$78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Sacarosa!$X$75:$X$78</c:f>
              <c:numCache>
                <c:formatCode>General</c:formatCode>
                <c:ptCount val="4"/>
                <c:pt idx="0">
                  <c:v>71.48</c:v>
                </c:pt>
                <c:pt idx="1">
                  <c:v>72.025000000000006</c:v>
                </c:pt>
                <c:pt idx="2">
                  <c:v>69.06</c:v>
                </c:pt>
                <c:pt idx="3">
                  <c:v>70.849999999999994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7-4623-8EB8-E72B99B7F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  <c:extLst/>
      </c:scatterChart>
      <c:scatterChart>
        <c:scatterStyle val="smoothMarker"/>
        <c:varyColors val="0"/>
        <c:ser>
          <c:idx val="1"/>
          <c:order val="1"/>
          <c:tx>
            <c:v>Simulation Results 20%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Sacarosa!$W$75:$W$78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Sacarosa!$Y$75:$Y$78</c:f>
              <c:numCache>
                <c:formatCode>General</c:formatCode>
                <c:ptCount val="4"/>
                <c:pt idx="0">
                  <c:v>73.69</c:v>
                </c:pt>
                <c:pt idx="1">
                  <c:v>72.400000000000006</c:v>
                </c:pt>
                <c:pt idx="2">
                  <c:v>73.39</c:v>
                </c:pt>
                <c:pt idx="3">
                  <c:v>71.838999999999999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67-4623-8EB8-E72B99B7FDF5}"/>
            </c:ext>
          </c:extLst>
        </c:ser>
        <c:ser>
          <c:idx val="2"/>
          <c:order val="2"/>
          <c:tx>
            <c:v>Simulation Results 30%</c:v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diamond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Sacarosa!$W$75:$W$78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Sacarosa!$Z$75:$Z$78</c:f>
              <c:numCache>
                <c:formatCode>General</c:formatCode>
                <c:ptCount val="4"/>
                <c:pt idx="0">
                  <c:v>74.099999999999994</c:v>
                </c:pt>
                <c:pt idx="1">
                  <c:v>73.766999999999996</c:v>
                </c:pt>
                <c:pt idx="2">
                  <c:v>73.338999999999999</c:v>
                </c:pt>
                <c:pt idx="3">
                  <c:v>71.989999999999995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67-4623-8EB8-E72B99B7F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layout>
            <c:manualLayout>
              <c:xMode val="edge"/>
              <c:yMode val="edge"/>
              <c:x val="0.43897232564893124"/>
              <c:y val="0.921042985602044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ysClr val="windowText" lastClr="000000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Surface tension</a:t>
                </a:r>
                <a:r>
                  <a:rPr lang="es-MX" sz="1400" b="1" baseline="0">
                    <a:solidFill>
                      <a:sysClr val="windowText" lastClr="000000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(mNm)</a:t>
                </a:r>
                <a:endParaRPr lang="es-MX" sz="1400" b="1">
                  <a:solidFill>
                    <a:sysClr val="windowText" lastClr="000000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830840278363452E-2"/>
              <c:y val="0.164350209235893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14102875894164638"/>
          <c:y val="0.54592185013017958"/>
          <c:w val="0.26701446183768862"/>
          <c:h val="0.27959400644539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r>
              <a:rPr lang="es-MX" sz="1600" b="1">
                <a:solidFill>
                  <a:sysClr val="windowText" lastClr="000000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Sucrose</a:t>
            </a:r>
            <a:r>
              <a:rPr lang="es-MX" sz="1600" b="1" baseline="0">
                <a:solidFill>
                  <a:sysClr val="windowText" lastClr="000000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 20%</a:t>
            </a:r>
            <a:endParaRPr lang="es-MX" sz="1600" b="1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endParaRPr>
          </a:p>
        </c:rich>
      </c:tx>
      <c:layout>
        <c:manualLayout>
          <c:xMode val="edge"/>
          <c:yMode val="edge"/>
          <c:x val="0.47077714308635366"/>
          <c:y val="1.8610438718588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410400393177945"/>
          <c:y val="9.3463967866952741E-2"/>
          <c:w val="0.85962062511110404"/>
          <c:h val="0.77314021740928052"/>
        </c:manualLayout>
      </c:layout>
      <c:scatterChart>
        <c:scatterStyle val="lineMarker"/>
        <c:varyColors val="0"/>
        <c:ser>
          <c:idx val="0"/>
          <c:order val="0"/>
          <c:tx>
            <c:v>Simulation Results</c:v>
          </c:tx>
          <c:spPr>
            <a:ln w="190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Sacarosa!$V$26:$V$29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Sacarosa!$W$26:$W$29</c:f>
              <c:numCache>
                <c:formatCode>0.00</c:formatCode>
                <c:ptCount val="4"/>
                <c:pt idx="0">
                  <c:v>1.6</c:v>
                </c:pt>
                <c:pt idx="1">
                  <c:v>1.43</c:v>
                </c:pt>
                <c:pt idx="2">
                  <c:v>1.27</c:v>
                </c:pt>
                <c:pt idx="3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BD-457E-A799-5D9CF9A38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  <c:extLst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  <c:max val="2.4"/>
          <c:min val="1.100000000000000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ysClr val="windowText" lastClr="000000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Viscosity</a:t>
                </a:r>
                <a:r>
                  <a:rPr lang="es-MX" sz="1400" b="1" baseline="0">
                    <a:solidFill>
                      <a:sysClr val="windowText" lastClr="000000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(cp)</a:t>
                </a:r>
                <a:endParaRPr lang="es-MX" sz="1400" b="1">
                  <a:solidFill>
                    <a:sysClr val="windowText" lastClr="000000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5711850759690896E-2"/>
              <c:y val="0.324992856905545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  <c:majorUnit val="0.2"/>
        <c:min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058114052049978"/>
          <c:y val="0.6647657866296125"/>
          <c:w val="0.18873577864260707"/>
          <c:h val="0.185790226615413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r>
              <a:rPr lang="es-MX" sz="1600" b="1">
                <a:solidFill>
                  <a:sysClr val="windowText" lastClr="000000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Sucrose</a:t>
            </a:r>
            <a:r>
              <a:rPr lang="es-MX" sz="1600" b="1" baseline="0">
                <a:solidFill>
                  <a:sysClr val="windowText" lastClr="000000"/>
                </a:solidFill>
                <a:latin typeface="Courier New" panose="02070309020205020404" pitchFamily="49" charset="0"/>
                <a:cs typeface="Courier New" panose="02070309020205020404" pitchFamily="49" charset="0"/>
              </a:rPr>
              <a:t> 30%</a:t>
            </a:r>
            <a:endParaRPr lang="es-MX" sz="1600" b="1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endParaRPr>
          </a:p>
        </c:rich>
      </c:tx>
      <c:layout>
        <c:manualLayout>
          <c:xMode val="edge"/>
          <c:yMode val="edge"/>
          <c:x val="0.47077714308635366"/>
          <c:y val="1.8610438718588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410400393177945"/>
          <c:y val="9.3463967866952741E-2"/>
          <c:w val="0.85962062511110404"/>
          <c:h val="0.77314021740928052"/>
        </c:manualLayout>
      </c:layout>
      <c:scatterChart>
        <c:scatterStyle val="lineMarker"/>
        <c:varyColors val="0"/>
        <c:ser>
          <c:idx val="2"/>
          <c:order val="0"/>
          <c:tx>
            <c:v>Simulation Results</c:v>
          </c:tx>
          <c:spPr>
            <a:ln w="190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Sacarosa!$V$45:$V$48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Sacarosa!$W$45:$W$48</c:f>
              <c:numCache>
                <c:formatCode>0.00</c:formatCode>
                <c:ptCount val="4"/>
                <c:pt idx="0">
                  <c:v>2.13</c:v>
                </c:pt>
                <c:pt idx="1">
                  <c:v>1.85</c:v>
                </c:pt>
                <c:pt idx="2">
                  <c:v>1.67</c:v>
                </c:pt>
                <c:pt idx="3">
                  <c:v>1.52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C3C-431F-981B-40EF7EC7C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  <c:extLst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  <c:max val="4"/>
          <c:min val="1.100000000000000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ysClr val="windowText" lastClr="000000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Viscosity</a:t>
                </a:r>
                <a:r>
                  <a:rPr lang="es-MX" sz="1400" b="1" baseline="0">
                    <a:solidFill>
                      <a:sysClr val="windowText" lastClr="000000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(cp)</a:t>
                </a:r>
                <a:endParaRPr lang="es-MX" sz="1400" b="1">
                  <a:solidFill>
                    <a:sysClr val="windowText" lastClr="000000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5711850759690896E-2"/>
              <c:y val="0.324992856905545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  <c:majorUnit val="0.2"/>
        <c:min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058114052049978"/>
          <c:y val="0.6647657866296125"/>
          <c:w val="0.18873577864260707"/>
          <c:h val="0.185790226615413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33803732324568"/>
          <c:y val="4.7454620803978463E-2"/>
          <c:w val="0.79563197240709105"/>
          <c:h val="0.7619983423124741"/>
        </c:manualLayout>
      </c:layout>
      <c:scatterChart>
        <c:scatterStyle val="smoothMarker"/>
        <c:varyColors val="0"/>
        <c:ser>
          <c:idx val="0"/>
          <c:order val="0"/>
          <c:tx>
            <c:v>Simulation Results 10%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Threalosa!$H$5:$H$8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Threalosa!$I$5:$I$8</c:f>
              <c:numCache>
                <c:formatCode>General</c:formatCode>
                <c:ptCount val="4"/>
                <c:pt idx="0">
                  <c:v>1039.07</c:v>
                </c:pt>
                <c:pt idx="1">
                  <c:v>1037.7</c:v>
                </c:pt>
                <c:pt idx="2">
                  <c:v>1035.78</c:v>
                </c:pt>
                <c:pt idx="3">
                  <c:v>1033.67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82-4945-890A-9A84DC50C241}"/>
            </c:ext>
          </c:extLst>
        </c:ser>
        <c:ser>
          <c:idx val="1"/>
          <c:order val="1"/>
          <c:tx>
            <c:v>Simulation Results 20%</c:v>
          </c:tx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Threalosa!$H$5:$H$8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Threalosa!$J$5:$J$8</c:f>
              <c:numCache>
                <c:formatCode>General</c:formatCode>
                <c:ptCount val="4"/>
                <c:pt idx="0">
                  <c:v>1083.42</c:v>
                </c:pt>
                <c:pt idx="1">
                  <c:v>1081.8499999999999</c:v>
                </c:pt>
                <c:pt idx="2">
                  <c:v>1079.75</c:v>
                </c:pt>
                <c:pt idx="3">
                  <c:v>1077.21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82-4945-890A-9A84DC50C241}"/>
            </c:ext>
          </c:extLst>
        </c:ser>
        <c:ser>
          <c:idx val="2"/>
          <c:order val="2"/>
          <c:tx>
            <c:v>Simulation Results 30%</c:v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diamond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Threalosa!$H$5:$H$8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Threalosa!$K$5:$K$8</c:f>
              <c:numCache>
                <c:formatCode>General</c:formatCode>
                <c:ptCount val="4"/>
                <c:pt idx="0">
                  <c:v>1130.42</c:v>
                </c:pt>
                <c:pt idx="1">
                  <c:v>1128.28</c:v>
                </c:pt>
                <c:pt idx="2">
                  <c:v>1125.68</c:v>
                </c:pt>
                <c:pt idx="3">
                  <c:v>1123.49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82-4945-890A-9A84DC50C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  <c:max val="1150"/>
          <c:min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Density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(kg/m</a:t>
                </a:r>
                <a:r>
                  <a:rPr lang="es-MX" sz="1400" b="1" baseline="3000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3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836790158336302E-2"/>
              <c:y val="0.147777771211267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236551250111416"/>
          <c:y val="0.65484210526315778"/>
          <c:w val="0.32790794929086059"/>
          <c:h val="0.125954689874292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88441841111322"/>
          <c:y val="5.0925925925925923E-2"/>
          <c:w val="0.81287273542026761"/>
          <c:h val="0.80216410904841284"/>
        </c:manualLayout>
      </c:layout>
      <c:scatterChart>
        <c:scatterStyle val="lineMarker"/>
        <c:varyColors val="0"/>
        <c:ser>
          <c:idx val="0"/>
          <c:order val="0"/>
          <c:tx>
            <c:v>Simulation Results 10%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Threalosa!$H$20:$H$23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Threalosa!$I$20:$I$23</c:f>
              <c:numCache>
                <c:formatCode>General</c:formatCode>
                <c:ptCount val="4"/>
                <c:pt idx="0">
                  <c:v>1.28</c:v>
                </c:pt>
                <c:pt idx="1">
                  <c:v>1.1299999999999999</c:v>
                </c:pt>
                <c:pt idx="2">
                  <c:v>1.04</c:v>
                </c:pt>
                <c:pt idx="3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E0-46DE-941B-736FDC318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  <c:extLst/>
      </c:scatterChart>
      <c:scatterChart>
        <c:scatterStyle val="smoothMarker"/>
        <c:varyColors val="0"/>
        <c:ser>
          <c:idx val="1"/>
          <c:order val="1"/>
          <c:tx>
            <c:v>Simulation Results 20%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Threalosa!$H$20:$H$23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Threalosa!$J$20:$J$23</c:f>
              <c:numCache>
                <c:formatCode>General</c:formatCode>
                <c:ptCount val="4"/>
                <c:pt idx="0">
                  <c:v>1.69</c:v>
                </c:pt>
                <c:pt idx="1">
                  <c:v>1.52</c:v>
                </c:pt>
                <c:pt idx="2">
                  <c:v>1.37</c:v>
                </c:pt>
                <c:pt idx="3">
                  <c:v>1.26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E0-46DE-941B-736FDC31840E}"/>
            </c:ext>
          </c:extLst>
        </c:ser>
        <c:ser>
          <c:idx val="2"/>
          <c:order val="2"/>
          <c:tx>
            <c:v>Simulation Results 30%</c:v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diamond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Threalosa!$H$20:$H$23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Threalosa!$K$20:$K$23</c:f>
              <c:numCache>
                <c:formatCode>General</c:formatCode>
                <c:ptCount val="4"/>
                <c:pt idx="0">
                  <c:v>2.4700000000000002</c:v>
                </c:pt>
                <c:pt idx="1">
                  <c:v>2.15</c:v>
                </c:pt>
                <c:pt idx="2">
                  <c:v>1.89</c:v>
                </c:pt>
                <c:pt idx="3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E0-46DE-941B-736FDC318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Viscosity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(cp)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5711850759690896E-2"/>
              <c:y val="0.324992856905545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05234940144677"/>
          <c:y val="0.6782168259501915"/>
          <c:w val="0.40929085845976571"/>
          <c:h val="0.16763465635497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90940725169535"/>
          <c:y val="6.3784423910134877E-2"/>
          <c:w val="0.81830477072718855"/>
          <c:h val="0.77314385593340962"/>
        </c:manualLayout>
      </c:layout>
      <c:scatterChart>
        <c:scatterStyle val="lineMarker"/>
        <c:varyColors val="0"/>
        <c:ser>
          <c:idx val="0"/>
          <c:order val="0"/>
          <c:tx>
            <c:v>Simulation Results 10%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Threalosa!$H$39:$H$42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Threalosa!$I$39:$I$42</c:f>
              <c:numCache>
                <c:formatCode>General</c:formatCode>
                <c:ptCount val="4"/>
                <c:pt idx="0">
                  <c:v>72.849999999999994</c:v>
                </c:pt>
                <c:pt idx="1">
                  <c:v>70.66</c:v>
                </c:pt>
                <c:pt idx="2">
                  <c:v>71.58</c:v>
                </c:pt>
                <c:pt idx="3">
                  <c:v>71.05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1-4031-B23D-A68C8339D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  <c:extLst/>
      </c:scatterChart>
      <c:scatterChart>
        <c:scatterStyle val="smoothMarker"/>
        <c:varyColors val="0"/>
        <c:ser>
          <c:idx val="1"/>
          <c:order val="1"/>
          <c:tx>
            <c:v>Simulation Results 20%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Threalosa!$H$39:$H$42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Threalosa!$J$39:$J$42</c:f>
              <c:numCache>
                <c:formatCode>General</c:formatCode>
                <c:ptCount val="4"/>
                <c:pt idx="0">
                  <c:v>73.53</c:v>
                </c:pt>
                <c:pt idx="1">
                  <c:v>73.48</c:v>
                </c:pt>
                <c:pt idx="2">
                  <c:v>71.540000000000006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D1-4031-B23D-A68C8339DC8B}"/>
            </c:ext>
          </c:extLst>
        </c:ser>
        <c:ser>
          <c:idx val="2"/>
          <c:order val="2"/>
          <c:tx>
            <c:v>Simulation Results 30%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diamond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Threalosa!$H$39:$H$42</c:f>
              <c:numCache>
                <c:formatCode>General</c:formatCode>
                <c:ptCount val="4"/>
                <c:pt idx="0">
                  <c:v>293.14999999999998</c:v>
                </c:pt>
                <c:pt idx="1">
                  <c:v>298.14999999999998</c:v>
                </c:pt>
                <c:pt idx="2">
                  <c:v>303.14999999999998</c:v>
                </c:pt>
                <c:pt idx="3">
                  <c:v>308.14999999999998</c:v>
                </c:pt>
              </c:numCache>
            </c:numRef>
          </c:xVal>
          <c:yVal>
            <c:numRef>
              <c:f>Threalosa!$K$39:$K$42</c:f>
              <c:numCache>
                <c:formatCode>General</c:formatCode>
                <c:ptCount val="4"/>
                <c:pt idx="0">
                  <c:v>74.89</c:v>
                </c:pt>
                <c:pt idx="1">
                  <c:v>74.72</c:v>
                </c:pt>
                <c:pt idx="2">
                  <c:v>73.53</c:v>
                </c:pt>
                <c:pt idx="3">
                  <c:v>73.89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D1-4031-B23D-A68C8339D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8223"/>
        <c:axId val="663596543"/>
      </c:scatterChart>
      <c:valAx>
        <c:axId val="6635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96543"/>
        <c:crosses val="autoZero"/>
        <c:crossBetween val="midCat"/>
      </c:valAx>
      <c:valAx>
        <c:axId val="663596543"/>
        <c:scaling>
          <c:orientation val="minMax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es-MX" sz="1400" b="1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Surface tension</a:t>
                </a:r>
                <a:r>
                  <a:rPr lang="es-MX" sz="1400" b="1" baseline="0">
                    <a:solidFill>
                      <a:schemeClr val="tx1"/>
                    </a:solidFill>
                    <a:latin typeface="Courier New" panose="02070309020205020404" pitchFamily="49" charset="0"/>
                    <a:cs typeface="Courier New" panose="02070309020205020404" pitchFamily="49" charset="0"/>
                  </a:rPr>
                  <a:t> (mNm)</a:t>
                </a:r>
                <a:endParaRPr lang="es-MX" sz="1400" b="1">
                  <a:solidFill>
                    <a:schemeClr val="tx1"/>
                  </a:solidFill>
                  <a:latin typeface="Courier New" panose="02070309020205020404" pitchFamily="49" charset="0"/>
                  <a:cs typeface="Courier New" panose="02070309020205020404" pitchFamily="49" charset="0"/>
                </a:endParaRPr>
              </a:p>
            </c:rich>
          </c:tx>
          <c:layout>
            <c:manualLayout>
              <c:xMode val="edge"/>
              <c:yMode val="edge"/>
              <c:x val="1.830840278363452E-2"/>
              <c:y val="0.164350209235893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6635882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119464139380766"/>
          <c:y val="0.68011173121561086"/>
          <c:w val="0.3152798660348452"/>
          <c:h val="0.136838815918888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Courier New" panose="02070309020205020404" pitchFamily="49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Anneling!$C$4:$C$12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Anneling!$E$4:$E$12</c:f>
              <c:numCache>
                <c:formatCode>General</c:formatCode>
                <c:ptCount val="9"/>
                <c:pt idx="0">
                  <c:v>308.14999999999998</c:v>
                </c:pt>
                <c:pt idx="1">
                  <c:v>308.14999999999998</c:v>
                </c:pt>
                <c:pt idx="2">
                  <c:v>305.14999999999998</c:v>
                </c:pt>
                <c:pt idx="3">
                  <c:v>305.14999999999998</c:v>
                </c:pt>
                <c:pt idx="4">
                  <c:v>303.14999999999998</c:v>
                </c:pt>
                <c:pt idx="5">
                  <c:v>303.14999999999998</c:v>
                </c:pt>
                <c:pt idx="6">
                  <c:v>303.14999999999998</c:v>
                </c:pt>
                <c:pt idx="7">
                  <c:v>303.14999999999998</c:v>
                </c:pt>
                <c:pt idx="8">
                  <c:v>303.14999999999998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2F-4D84-935A-1F3CB0478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729135"/>
        <c:axId val="1170726639"/>
      </c:scatterChart>
      <c:valAx>
        <c:axId val="1170729135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2400" b="1">
                    <a:latin typeface="Courier New" panose="02070309020205020404" pitchFamily="49" charset="0"/>
                    <a:cs typeface="Courier New" panose="02070309020205020404" pitchFamily="49" charset="0"/>
                  </a:rPr>
                  <a:t>t(ns)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0726639"/>
        <c:crosses val="autoZero"/>
        <c:crossBetween val="midCat"/>
      </c:valAx>
      <c:valAx>
        <c:axId val="1170726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2400" b="1">
                    <a:latin typeface="Courier New" panose="02070309020205020404" pitchFamily="49" charset="0"/>
                    <a:cs typeface="Courier New" panose="02070309020205020404" pitchFamily="49" charset="0"/>
                  </a:rPr>
                  <a:t>T(K)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es-MX"/>
          </a:p>
        </c:txPr>
        <c:crossAx val="1170729135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66675</xdr:rowOff>
    </xdr:from>
    <xdr:to>
      <xdr:col>5</xdr:col>
      <xdr:colOff>1600200</xdr:colOff>
      <xdr:row>15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D6BF75B-8627-49F4-8A56-321676429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219076</xdr:colOff>
      <xdr:row>16</xdr:row>
      <xdr:rowOff>161924</xdr:rowOff>
    </xdr:from>
    <xdr:to>
      <xdr:col>5</xdr:col>
      <xdr:colOff>1581150</xdr:colOff>
      <xdr:row>32</xdr:row>
      <xdr:rowOff>85724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E80A6E4-2F8D-4E01-8031-B01A8E3F4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171451</xdr:colOff>
      <xdr:row>33</xdr:row>
      <xdr:rowOff>209550</xdr:rowOff>
    </xdr:from>
    <xdr:to>
      <xdr:col>5</xdr:col>
      <xdr:colOff>1600201</xdr:colOff>
      <xdr:row>49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C7348AE-036C-4B73-B3AE-FD60BFABE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1343025</xdr:colOff>
      <xdr:row>1</xdr:row>
      <xdr:rowOff>171450</xdr:rowOff>
    </xdr:from>
    <xdr:to>
      <xdr:col>19</xdr:col>
      <xdr:colOff>571500</xdr:colOff>
      <xdr:row>22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AC96154-997F-46ED-84F9-BBD39DF62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1304925</xdr:colOff>
      <xdr:row>23</xdr:row>
      <xdr:rowOff>209550</xdr:rowOff>
    </xdr:from>
    <xdr:to>
      <xdr:col>19</xdr:col>
      <xdr:colOff>533400</xdr:colOff>
      <xdr:row>44</xdr:row>
      <xdr:rowOff>123825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DBE355-786A-4EA2-91A1-97C728B23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66675</xdr:rowOff>
    </xdr:from>
    <xdr:to>
      <xdr:col>5</xdr:col>
      <xdr:colOff>1600200</xdr:colOff>
      <xdr:row>15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6717C9-110A-4A63-B102-37BCAAD66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219076</xdr:colOff>
      <xdr:row>16</xdr:row>
      <xdr:rowOff>161924</xdr:rowOff>
    </xdr:from>
    <xdr:to>
      <xdr:col>5</xdr:col>
      <xdr:colOff>1581150</xdr:colOff>
      <xdr:row>32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8CA1D5-AF70-45E5-B3E8-852886396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171451</xdr:colOff>
      <xdr:row>33</xdr:row>
      <xdr:rowOff>209550</xdr:rowOff>
    </xdr:from>
    <xdr:to>
      <xdr:col>5</xdr:col>
      <xdr:colOff>1600201</xdr:colOff>
      <xdr:row>49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ED3D90-1DA5-404D-9E6E-EB41FBE86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1343025</xdr:colOff>
      <xdr:row>1</xdr:row>
      <xdr:rowOff>171450</xdr:rowOff>
    </xdr:from>
    <xdr:to>
      <xdr:col>19</xdr:col>
      <xdr:colOff>571500</xdr:colOff>
      <xdr:row>22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C3F8F5-31E1-45BB-B81F-EBDEC96D9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152797</xdr:colOff>
      <xdr:row>68</xdr:row>
      <xdr:rowOff>13494</xdr:rowOff>
    </xdr:from>
    <xdr:to>
      <xdr:col>19</xdr:col>
      <xdr:colOff>495697</xdr:colOff>
      <xdr:row>93</xdr:row>
      <xdr:rowOff>127397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163FA5-006D-4206-BFF9-D3CCD9A7A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180975</xdr:colOff>
      <xdr:row>22</xdr:row>
      <xdr:rowOff>238125</xdr:rowOff>
    </xdr:from>
    <xdr:to>
      <xdr:col>19</xdr:col>
      <xdr:colOff>561975</xdr:colOff>
      <xdr:row>42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C606302-6FAE-434D-B745-0EE1FBD98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44</xdr:row>
      <xdr:rowOff>0</xdr:rowOff>
    </xdr:from>
    <xdr:to>
      <xdr:col>19</xdr:col>
      <xdr:colOff>569515</xdr:colOff>
      <xdr:row>65</xdr:row>
      <xdr:rowOff>191294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635ECEC-CD51-4DDE-A703-F31328BBD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66675</xdr:rowOff>
    </xdr:from>
    <xdr:to>
      <xdr:col>5</xdr:col>
      <xdr:colOff>1600200</xdr:colOff>
      <xdr:row>15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1431B5-D78E-4B55-BA63-9016CDDDF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17</xdr:row>
      <xdr:rowOff>76200</xdr:rowOff>
    </xdr:from>
    <xdr:to>
      <xdr:col>5</xdr:col>
      <xdr:colOff>1600200</xdr:colOff>
      <xdr:row>33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25F665-DF7E-4520-86E5-666DE72A8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257175</xdr:colOff>
      <xdr:row>36</xdr:row>
      <xdr:rowOff>9525</xdr:rowOff>
    </xdr:from>
    <xdr:to>
      <xdr:col>5</xdr:col>
      <xdr:colOff>1657350</xdr:colOff>
      <xdr:row>56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11FF38F-5836-4235-822F-ECBF4CEA2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2</xdr:row>
      <xdr:rowOff>161925</xdr:rowOff>
    </xdr:from>
    <xdr:to>
      <xdr:col>17</xdr:col>
      <xdr:colOff>66675</xdr:colOff>
      <xdr:row>31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05336D-B101-4574-8A07-A8B5AC929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19C0-F6C6-43BD-A05B-75AF211FE141}">
  <dimension ref="G2:Z47"/>
  <sheetViews>
    <sheetView topLeftCell="N25" workbookViewId="0">
      <selection activeCell="X32" sqref="X32"/>
    </sheetView>
  </sheetViews>
  <sheetFormatPr baseColWidth="10" defaultRowHeight="15" x14ac:dyDescent="0.25"/>
  <cols>
    <col min="3" max="3" width="12.7109375" customWidth="1"/>
    <col min="4" max="4" width="19.28515625" customWidth="1"/>
    <col min="5" max="5" width="18.85546875" customWidth="1"/>
    <col min="6" max="6" width="27" customWidth="1"/>
    <col min="7" max="7" width="13.7109375" customWidth="1"/>
    <col min="8" max="8" width="9.28515625" customWidth="1"/>
    <col min="9" max="9" width="20.42578125" customWidth="1"/>
    <col min="10" max="10" width="22.140625" customWidth="1"/>
    <col min="11" max="11" width="22.42578125" customWidth="1"/>
    <col min="12" max="12" width="2.85546875" customWidth="1"/>
    <col min="13" max="15" width="18" customWidth="1"/>
    <col min="16" max="19" width="20.7109375" customWidth="1"/>
    <col min="23" max="23" width="30.85546875" customWidth="1"/>
    <col min="24" max="24" width="28.28515625" customWidth="1"/>
    <col min="25" max="25" width="30.42578125" customWidth="1"/>
    <col min="26" max="26" width="28.7109375" customWidth="1"/>
    <col min="27" max="27" width="23.140625" customWidth="1"/>
    <col min="28" max="28" width="22.42578125" customWidth="1"/>
  </cols>
  <sheetData>
    <row r="2" spans="7:25" ht="15" customHeight="1" x14ac:dyDescent="0.25">
      <c r="G2" s="32" t="s">
        <v>19</v>
      </c>
      <c r="H2" s="32"/>
      <c r="I2" s="32"/>
      <c r="J2" s="47"/>
      <c r="K2" s="47"/>
    </row>
    <row r="3" spans="7:25" ht="19.5" x14ac:dyDescent="0.3">
      <c r="G3" s="30" t="s">
        <v>0</v>
      </c>
      <c r="H3" s="31"/>
      <c r="I3" s="11" t="s">
        <v>1</v>
      </c>
      <c r="J3" s="46"/>
      <c r="K3" s="46"/>
    </row>
    <row r="4" spans="7:25" ht="21.75" x14ac:dyDescent="0.3">
      <c r="G4" s="10" t="s">
        <v>2</v>
      </c>
      <c r="H4" s="10" t="s">
        <v>3</v>
      </c>
      <c r="I4" s="38" t="s">
        <v>4</v>
      </c>
      <c r="J4" s="46"/>
      <c r="K4" s="46"/>
      <c r="U4" s="30" t="s">
        <v>0</v>
      </c>
      <c r="V4" s="31"/>
      <c r="W4" s="25" t="s">
        <v>16</v>
      </c>
      <c r="X4" s="25" t="s">
        <v>16</v>
      </c>
      <c r="Y4" s="25" t="s">
        <v>16</v>
      </c>
    </row>
    <row r="5" spans="7:25" ht="19.5" x14ac:dyDescent="0.3">
      <c r="G5" s="3">
        <v>20</v>
      </c>
      <c r="H5" s="3">
        <f t="shared" ref="H5:H8" si="0">273.15+G5</f>
        <v>293.14999999999998</v>
      </c>
      <c r="I5" s="22">
        <v>1036.8499999999999</v>
      </c>
      <c r="J5" s="46"/>
      <c r="K5" s="46"/>
      <c r="U5" s="10" t="s">
        <v>2</v>
      </c>
      <c r="V5" s="10" t="s">
        <v>3</v>
      </c>
      <c r="W5" s="26" t="s">
        <v>17</v>
      </c>
      <c r="X5" s="26" t="s">
        <v>18</v>
      </c>
      <c r="Y5" s="26" t="s">
        <v>13</v>
      </c>
    </row>
    <row r="6" spans="7:25" ht="19.5" x14ac:dyDescent="0.3">
      <c r="G6" s="3">
        <v>25</v>
      </c>
      <c r="H6" s="3">
        <f t="shared" si="0"/>
        <v>298.14999999999998</v>
      </c>
      <c r="I6" s="22">
        <v>1035</v>
      </c>
      <c r="J6" s="46"/>
      <c r="K6" s="46"/>
      <c r="U6" s="3">
        <v>20</v>
      </c>
      <c r="V6" s="3">
        <f t="shared" ref="V6:V9" si="1">273.15+U6</f>
        <v>293.14999999999998</v>
      </c>
      <c r="W6" s="4">
        <v>1.21</v>
      </c>
      <c r="X6" s="6">
        <v>1.48</v>
      </c>
      <c r="Y6" s="6">
        <v>1.99</v>
      </c>
    </row>
    <row r="7" spans="7:25" ht="19.5" x14ac:dyDescent="0.3">
      <c r="G7" s="3">
        <v>30</v>
      </c>
      <c r="H7" s="3">
        <f t="shared" si="0"/>
        <v>303.14999999999998</v>
      </c>
      <c r="I7" s="22">
        <v>1033.47</v>
      </c>
      <c r="J7" s="46"/>
      <c r="K7" s="46"/>
      <c r="U7" s="3">
        <v>25</v>
      </c>
      <c r="V7" s="3">
        <f t="shared" si="1"/>
        <v>298.14999999999998</v>
      </c>
      <c r="W7" s="4">
        <v>1.1100000000000001</v>
      </c>
      <c r="X7" s="6">
        <v>1.33</v>
      </c>
      <c r="Y7" s="6">
        <v>1.77</v>
      </c>
    </row>
    <row r="8" spans="7:25" ht="19.5" x14ac:dyDescent="0.3">
      <c r="G8" s="3">
        <v>35</v>
      </c>
      <c r="H8" s="3">
        <f t="shared" si="0"/>
        <v>308.14999999999998</v>
      </c>
      <c r="I8" s="22">
        <v>1031</v>
      </c>
      <c r="J8" s="46"/>
      <c r="K8" s="46"/>
      <c r="U8" s="3">
        <v>30</v>
      </c>
      <c r="V8" s="3">
        <f t="shared" si="1"/>
        <v>303.14999999999998</v>
      </c>
      <c r="W8" s="4">
        <v>0.97</v>
      </c>
      <c r="X8" s="6">
        <v>1.21</v>
      </c>
      <c r="Y8" s="6">
        <v>1.55</v>
      </c>
    </row>
    <row r="9" spans="7:25" ht="19.5" x14ac:dyDescent="0.3">
      <c r="J9" s="46"/>
      <c r="K9" s="46"/>
      <c r="U9" s="3">
        <v>35</v>
      </c>
      <c r="V9" s="3">
        <f t="shared" si="1"/>
        <v>308.14999999999998</v>
      </c>
      <c r="W9" s="4">
        <v>0.9</v>
      </c>
      <c r="X9" s="6">
        <v>1.08</v>
      </c>
      <c r="Y9" s="6">
        <v>1.43</v>
      </c>
    </row>
    <row r="10" spans="7:25" ht="19.5" x14ac:dyDescent="0.3">
      <c r="H10" s="16"/>
      <c r="I10" s="15"/>
    </row>
    <row r="11" spans="7:25" ht="19.5" x14ac:dyDescent="0.3">
      <c r="H11" s="16"/>
      <c r="I11" s="15"/>
      <c r="J11" s="16"/>
      <c r="U11" s="46"/>
      <c r="V11" s="46"/>
      <c r="W11" s="19"/>
      <c r="X11" s="19"/>
      <c r="Y11" s="19"/>
    </row>
    <row r="12" spans="7:25" ht="19.5" x14ac:dyDescent="0.3">
      <c r="H12" s="16"/>
      <c r="I12" s="15"/>
      <c r="J12" s="16"/>
      <c r="U12" s="19"/>
      <c r="V12" s="19"/>
      <c r="W12" s="19"/>
      <c r="X12" s="19"/>
      <c r="Y12" s="19"/>
    </row>
    <row r="13" spans="7:25" ht="19.5" x14ac:dyDescent="0.3">
      <c r="H13" s="16"/>
      <c r="I13" s="15"/>
      <c r="J13" s="16"/>
      <c r="U13" s="16"/>
      <c r="V13" s="16"/>
      <c r="W13" s="20"/>
      <c r="X13" s="20"/>
      <c r="Y13" s="16"/>
    </row>
    <row r="14" spans="7:25" ht="19.5" x14ac:dyDescent="0.3">
      <c r="J14" s="16"/>
      <c r="U14" s="16"/>
      <c r="V14" s="16"/>
      <c r="W14" s="20"/>
      <c r="X14" s="20"/>
      <c r="Y14" s="16"/>
    </row>
    <row r="15" spans="7:25" ht="19.5" x14ac:dyDescent="0.3">
      <c r="U15" s="16"/>
      <c r="V15" s="16"/>
      <c r="W15" s="16"/>
      <c r="X15" s="16"/>
      <c r="Y15" s="16"/>
    </row>
    <row r="16" spans="7:25" ht="19.5" x14ac:dyDescent="0.3">
      <c r="U16" s="16"/>
      <c r="V16" s="16"/>
      <c r="W16" s="20"/>
      <c r="X16" s="20"/>
      <c r="Y16" s="16"/>
    </row>
    <row r="17" spans="7:26" ht="19.5" x14ac:dyDescent="0.3">
      <c r="G17" s="32" t="s">
        <v>20</v>
      </c>
      <c r="H17" s="32"/>
      <c r="I17" s="32"/>
      <c r="U17" s="16"/>
      <c r="V17" s="16"/>
      <c r="W17" s="20"/>
      <c r="X17" s="20"/>
      <c r="Y17" s="16"/>
    </row>
    <row r="18" spans="7:26" ht="19.5" x14ac:dyDescent="0.3">
      <c r="G18" s="30" t="s">
        <v>0</v>
      </c>
      <c r="H18" s="31"/>
      <c r="I18" s="11" t="s">
        <v>1</v>
      </c>
      <c r="J18" s="47"/>
      <c r="K18" s="47"/>
    </row>
    <row r="19" spans="7:26" ht="21.75" x14ac:dyDescent="0.3">
      <c r="G19" s="10" t="s">
        <v>2</v>
      </c>
      <c r="H19" s="10" t="s">
        <v>3</v>
      </c>
      <c r="I19" s="38" t="s">
        <v>4</v>
      </c>
      <c r="J19" s="19"/>
      <c r="K19" s="19"/>
    </row>
    <row r="20" spans="7:26" ht="19.5" x14ac:dyDescent="0.3">
      <c r="G20" s="3">
        <v>20</v>
      </c>
      <c r="H20" s="3">
        <f>273.15+G20</f>
        <v>293.14999999999998</v>
      </c>
      <c r="I20" s="22">
        <v>1079.23</v>
      </c>
      <c r="J20" s="19"/>
      <c r="K20" s="19"/>
    </row>
    <row r="21" spans="7:26" ht="19.5" x14ac:dyDescent="0.3">
      <c r="G21" s="3">
        <v>25</v>
      </c>
      <c r="H21" s="3">
        <f>273.15+G21</f>
        <v>298.14999999999998</v>
      </c>
      <c r="I21" s="22">
        <v>1078.69</v>
      </c>
      <c r="J21" s="16"/>
      <c r="K21" s="16"/>
    </row>
    <row r="22" spans="7:26" ht="19.5" x14ac:dyDescent="0.3">
      <c r="G22" s="3">
        <v>30</v>
      </c>
      <c r="H22" s="3">
        <f>273.15+G22</f>
        <v>303.14999999999998</v>
      </c>
      <c r="I22" s="22">
        <v>1075.07</v>
      </c>
      <c r="J22" s="16"/>
      <c r="K22" s="16"/>
    </row>
    <row r="23" spans="7:26" ht="19.5" x14ac:dyDescent="0.3">
      <c r="G23" s="3">
        <v>35</v>
      </c>
      <c r="H23" s="3">
        <f>273.15+G23</f>
        <v>308.14999999999998</v>
      </c>
      <c r="I23" s="22">
        <v>1074</v>
      </c>
      <c r="J23" s="16"/>
      <c r="K23" s="16"/>
    </row>
    <row r="24" spans="7:26" ht="19.5" x14ac:dyDescent="0.3">
      <c r="J24" s="48"/>
      <c r="K24" s="16"/>
    </row>
    <row r="25" spans="7:26" ht="19.5" x14ac:dyDescent="0.3">
      <c r="H25" s="16"/>
      <c r="J25" s="16"/>
      <c r="K25" s="16"/>
    </row>
    <row r="26" spans="7:26" ht="19.5" x14ac:dyDescent="0.3">
      <c r="H26" s="16"/>
      <c r="J26" s="15"/>
      <c r="K26" s="15"/>
    </row>
    <row r="27" spans="7:26" ht="19.5" x14ac:dyDescent="0.3">
      <c r="H27" s="16"/>
      <c r="J27" s="16"/>
      <c r="K27" s="15"/>
      <c r="U27" s="30" t="s">
        <v>0</v>
      </c>
      <c r="V27" s="31"/>
      <c r="W27" s="11" t="s">
        <v>6</v>
      </c>
      <c r="X27" s="10" t="s">
        <v>6</v>
      </c>
      <c r="Y27" s="10" t="s">
        <v>6</v>
      </c>
    </row>
    <row r="28" spans="7:26" ht="19.5" x14ac:dyDescent="0.3">
      <c r="H28" s="16"/>
      <c r="J28" s="16"/>
      <c r="K28" s="15"/>
      <c r="U28" s="10" t="s">
        <v>2</v>
      </c>
      <c r="V28" s="10" t="s">
        <v>3</v>
      </c>
      <c r="W28" s="12" t="s">
        <v>7</v>
      </c>
      <c r="X28" s="13" t="s">
        <v>8</v>
      </c>
      <c r="Y28" s="13" t="s">
        <v>10</v>
      </c>
      <c r="Z28" s="19"/>
    </row>
    <row r="29" spans="7:26" ht="19.5" x14ac:dyDescent="0.3">
      <c r="J29" s="16"/>
      <c r="K29" s="15"/>
      <c r="U29" s="3">
        <v>20</v>
      </c>
      <c r="V29" s="3">
        <f t="shared" ref="V29:V32" si="2">273.15+U29</f>
        <v>293.14999999999998</v>
      </c>
      <c r="W29" s="4">
        <v>73.48</v>
      </c>
      <c r="X29" s="4">
        <v>74.08</v>
      </c>
      <c r="Y29" s="4">
        <v>75.27</v>
      </c>
      <c r="Z29" s="19"/>
    </row>
    <row r="30" spans="7:26" ht="19.5" x14ac:dyDescent="0.3">
      <c r="J30" s="16"/>
      <c r="K30" s="15"/>
      <c r="U30" s="3">
        <v>25</v>
      </c>
      <c r="V30" s="3">
        <f t="shared" si="2"/>
        <v>298.14999999999998</v>
      </c>
      <c r="W30" s="4">
        <v>71.459999999999994</v>
      </c>
      <c r="X30" s="4">
        <v>73.23</v>
      </c>
      <c r="Y30" s="4">
        <v>76.259</v>
      </c>
      <c r="Z30" s="16"/>
    </row>
    <row r="31" spans="7:26" ht="19.5" x14ac:dyDescent="0.3">
      <c r="J31" s="15"/>
      <c r="K31" s="15"/>
      <c r="U31" s="3">
        <v>30</v>
      </c>
      <c r="V31" s="3">
        <f t="shared" si="2"/>
        <v>303.14999999999998</v>
      </c>
      <c r="W31" s="4">
        <v>70.319999999999993</v>
      </c>
      <c r="X31" s="4">
        <v>71.489999999999995</v>
      </c>
      <c r="Y31" s="4">
        <v>73.16</v>
      </c>
      <c r="Z31" s="16"/>
    </row>
    <row r="32" spans="7:26" ht="19.5" x14ac:dyDescent="0.3">
      <c r="U32" s="3">
        <v>35</v>
      </c>
      <c r="V32" s="3">
        <f t="shared" si="2"/>
        <v>308.14999999999998</v>
      </c>
      <c r="W32" s="4">
        <v>69.569999999999993</v>
      </c>
      <c r="X32" s="4">
        <v>71.430000000000007</v>
      </c>
      <c r="Y32" s="4">
        <v>71.44</v>
      </c>
      <c r="Z32" s="16"/>
    </row>
    <row r="33" spans="7:26" ht="19.5" x14ac:dyDescent="0.3">
      <c r="G33" s="32" t="s">
        <v>21</v>
      </c>
      <c r="H33" s="32"/>
      <c r="I33" s="32"/>
      <c r="Z33" s="16"/>
    </row>
    <row r="34" spans="7:26" ht="19.5" x14ac:dyDescent="0.3">
      <c r="G34" s="28" t="s">
        <v>0</v>
      </c>
      <c r="H34" s="29"/>
      <c r="I34" s="41" t="s">
        <v>1</v>
      </c>
      <c r="Z34" s="16"/>
    </row>
    <row r="35" spans="7:26" ht="21.75" x14ac:dyDescent="0.3">
      <c r="G35" s="24" t="s">
        <v>2</v>
      </c>
      <c r="H35" s="24" t="s">
        <v>3</v>
      </c>
      <c r="I35" s="42" t="s">
        <v>5</v>
      </c>
      <c r="J35" s="47"/>
      <c r="K35" s="47"/>
      <c r="U35" s="46"/>
      <c r="V35" s="46"/>
      <c r="W35" s="19"/>
      <c r="X35" s="19"/>
      <c r="Y35" s="19"/>
    </row>
    <row r="36" spans="7:26" ht="19.5" x14ac:dyDescent="0.3">
      <c r="G36" s="5">
        <v>20</v>
      </c>
      <c r="H36" s="5">
        <f t="shared" ref="H36:H39" si="3">273.15+G36</f>
        <v>293.14999999999998</v>
      </c>
      <c r="I36" s="18">
        <v>1124.3699999999999</v>
      </c>
      <c r="J36" s="27"/>
      <c r="K36" s="27"/>
      <c r="U36" s="19"/>
      <c r="V36" s="19"/>
      <c r="W36" s="19"/>
      <c r="X36" s="19"/>
      <c r="Y36" s="19"/>
    </row>
    <row r="37" spans="7:26" ht="19.5" x14ac:dyDescent="0.3">
      <c r="G37" s="5">
        <v>25</v>
      </c>
      <c r="H37" s="5">
        <f t="shared" si="3"/>
        <v>298.14999999999998</v>
      </c>
      <c r="I37" s="18">
        <v>1122.75</v>
      </c>
      <c r="J37" s="27"/>
      <c r="K37" s="27"/>
      <c r="U37" s="16"/>
      <c r="V37" s="16"/>
      <c r="W37" s="23"/>
      <c r="X37" s="23"/>
      <c r="Y37" s="23"/>
    </row>
    <row r="38" spans="7:26" ht="19.5" x14ac:dyDescent="0.3">
      <c r="G38" s="5">
        <v>30</v>
      </c>
      <c r="H38" s="5">
        <f t="shared" si="3"/>
        <v>303.14999999999998</v>
      </c>
      <c r="I38" s="18">
        <v>1119.79</v>
      </c>
      <c r="J38" s="17"/>
      <c r="K38" s="17"/>
      <c r="U38" s="16"/>
      <c r="V38" s="16"/>
      <c r="W38" s="23"/>
      <c r="X38" s="23"/>
      <c r="Y38" s="23"/>
    </row>
    <row r="39" spans="7:26" ht="19.5" x14ac:dyDescent="0.3">
      <c r="G39" s="5">
        <v>35</v>
      </c>
      <c r="H39" s="5">
        <f t="shared" si="3"/>
        <v>308.14999999999998</v>
      </c>
      <c r="I39" s="18">
        <v>1117.97</v>
      </c>
      <c r="J39" s="17"/>
      <c r="K39" s="17"/>
      <c r="U39" s="16"/>
      <c r="V39" s="16"/>
      <c r="W39" s="23"/>
      <c r="X39" s="23"/>
      <c r="Y39" s="23"/>
    </row>
    <row r="40" spans="7:26" ht="19.5" x14ac:dyDescent="0.3">
      <c r="J40" s="17"/>
      <c r="K40" s="17"/>
      <c r="U40" s="16"/>
      <c r="V40" s="16"/>
      <c r="W40" s="23"/>
      <c r="X40" s="23"/>
      <c r="Y40" s="23"/>
    </row>
    <row r="41" spans="7:26" ht="19.5" x14ac:dyDescent="0.3">
      <c r="H41" s="17"/>
      <c r="J41" s="49"/>
      <c r="K41" s="17"/>
      <c r="U41" s="16"/>
      <c r="V41" s="16"/>
      <c r="W41" s="23"/>
      <c r="X41" s="23"/>
      <c r="Y41" s="23"/>
    </row>
    <row r="42" spans="7:26" ht="19.5" x14ac:dyDescent="0.3">
      <c r="H42" s="17"/>
      <c r="J42" s="17"/>
      <c r="K42" s="17"/>
      <c r="W42" s="43"/>
      <c r="X42" s="15"/>
    </row>
    <row r="43" spans="7:26" ht="19.5" x14ac:dyDescent="0.3">
      <c r="H43" s="17"/>
      <c r="J43" s="15"/>
      <c r="K43" s="15"/>
    </row>
    <row r="44" spans="7:26" ht="19.5" x14ac:dyDescent="0.3">
      <c r="H44" s="17"/>
      <c r="J44" s="17"/>
      <c r="K44" s="15"/>
    </row>
    <row r="45" spans="7:26" ht="19.5" x14ac:dyDescent="0.3">
      <c r="J45" s="17"/>
      <c r="K45" s="15"/>
    </row>
    <row r="46" spans="7:26" ht="19.5" x14ac:dyDescent="0.3">
      <c r="J46" s="17"/>
      <c r="K46" s="15"/>
    </row>
    <row r="47" spans="7:26" ht="19.5" x14ac:dyDescent="0.3">
      <c r="J47" s="17"/>
      <c r="K47" s="15"/>
    </row>
  </sheetData>
  <mergeCells count="8">
    <mergeCell ref="G34:H34"/>
    <mergeCell ref="U4:V4"/>
    <mergeCell ref="U27:V27"/>
    <mergeCell ref="G3:H3"/>
    <mergeCell ref="G18:H18"/>
    <mergeCell ref="G2:I2"/>
    <mergeCell ref="G17:I17"/>
    <mergeCell ref="G33:I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60A3-3CAC-4B12-91B1-6E62FBAC0393}">
  <dimension ref="G3:AA87"/>
  <sheetViews>
    <sheetView tabSelected="1" zoomScale="94" zoomScaleNormal="94" workbookViewId="0">
      <selection activeCell="Z85" sqref="Z85"/>
    </sheetView>
  </sheetViews>
  <sheetFormatPr baseColWidth="10" defaultRowHeight="15" x14ac:dyDescent="0.25"/>
  <cols>
    <col min="3" max="3" width="12.7109375" customWidth="1"/>
    <col min="4" max="4" width="19.28515625" customWidth="1"/>
    <col min="5" max="5" width="18.85546875" customWidth="1"/>
    <col min="6" max="6" width="27" customWidth="1"/>
    <col min="7" max="7" width="13.7109375" customWidth="1"/>
    <col min="8" max="8" width="9.28515625" customWidth="1"/>
    <col min="9" max="9" width="20.42578125" customWidth="1"/>
    <col min="10" max="10" width="23.42578125" style="15" customWidth="1"/>
    <col min="11" max="11" width="22.42578125" style="15" customWidth="1"/>
    <col min="12" max="12" width="2.85546875" customWidth="1"/>
    <col min="13" max="15" width="18" customWidth="1"/>
    <col min="16" max="19" width="20.7109375" customWidth="1"/>
    <col min="23" max="23" width="21.85546875" customWidth="1"/>
    <col min="24" max="24" width="31" customWidth="1"/>
    <col min="25" max="25" width="35.5703125" customWidth="1"/>
    <col min="26" max="26" width="29.42578125" customWidth="1"/>
    <col min="27" max="27" width="27.7109375" customWidth="1"/>
  </cols>
  <sheetData>
    <row r="3" spans="7:27" ht="19.5" x14ac:dyDescent="0.3">
      <c r="G3" s="30" t="s">
        <v>26</v>
      </c>
      <c r="H3" s="31"/>
      <c r="I3" s="11" t="s">
        <v>27</v>
      </c>
      <c r="J3" s="19"/>
      <c r="K3" s="19"/>
      <c r="X3" s="15"/>
      <c r="Y3" s="15"/>
      <c r="Z3" s="15"/>
    </row>
    <row r="4" spans="7:27" ht="21.75" x14ac:dyDescent="0.3">
      <c r="G4" s="10" t="s">
        <v>2</v>
      </c>
      <c r="H4" s="10" t="s">
        <v>3</v>
      </c>
      <c r="I4" s="38" t="s">
        <v>4</v>
      </c>
      <c r="J4" s="19"/>
      <c r="K4" s="19"/>
      <c r="U4" s="30" t="s">
        <v>0</v>
      </c>
      <c r="V4" s="31"/>
      <c r="W4" s="10" t="s">
        <v>24</v>
      </c>
      <c r="X4" s="19"/>
      <c r="Y4" s="19"/>
      <c r="Z4" s="19"/>
      <c r="AA4" s="19"/>
    </row>
    <row r="5" spans="7:27" ht="19.5" x14ac:dyDescent="0.3">
      <c r="G5" s="3">
        <v>20</v>
      </c>
      <c r="H5" s="3">
        <f t="shared" ref="H5:H8" si="0">273.15+G5</f>
        <v>293.14999999999998</v>
      </c>
      <c r="I5" s="39">
        <v>1037.57</v>
      </c>
      <c r="J5" s="44"/>
      <c r="K5" s="16"/>
      <c r="U5" s="10" t="s">
        <v>2</v>
      </c>
      <c r="V5" s="10" t="s">
        <v>3</v>
      </c>
      <c r="W5" s="26" t="s">
        <v>15</v>
      </c>
      <c r="X5" s="19"/>
      <c r="Y5" s="19"/>
      <c r="Z5" s="19"/>
      <c r="AA5" s="19"/>
    </row>
    <row r="6" spans="7:27" ht="19.5" x14ac:dyDescent="0.3">
      <c r="G6" s="3">
        <v>25</v>
      </c>
      <c r="H6" s="3">
        <f t="shared" si="0"/>
        <v>298.14999999999998</v>
      </c>
      <c r="I6" s="39">
        <v>1036.1400000000001</v>
      </c>
      <c r="J6" s="44"/>
      <c r="K6" s="16"/>
      <c r="U6" s="3">
        <v>20</v>
      </c>
      <c r="V6" s="3">
        <f t="shared" ref="V6:V9" si="1">273.15+U6</f>
        <v>293.14999999999998</v>
      </c>
      <c r="W6" s="14">
        <v>1.26</v>
      </c>
      <c r="X6" s="20"/>
      <c r="Y6" s="20"/>
      <c r="Z6" s="20"/>
      <c r="AA6" s="16"/>
    </row>
    <row r="7" spans="7:27" ht="19.5" x14ac:dyDescent="0.3">
      <c r="G7" s="3">
        <v>30</v>
      </c>
      <c r="H7" s="3">
        <f t="shared" si="0"/>
        <v>303.14999999999998</v>
      </c>
      <c r="I7" s="39">
        <v>1034.48</v>
      </c>
      <c r="J7" s="44"/>
      <c r="K7" s="44"/>
      <c r="U7" s="3">
        <v>25</v>
      </c>
      <c r="V7" s="3">
        <f t="shared" si="1"/>
        <v>298.14999999999998</v>
      </c>
      <c r="W7" s="14">
        <v>1.1100000000000001</v>
      </c>
      <c r="X7" s="20"/>
      <c r="Y7" s="20"/>
      <c r="Z7" s="20"/>
      <c r="AA7" s="16"/>
    </row>
    <row r="8" spans="7:27" ht="19.5" x14ac:dyDescent="0.3">
      <c r="G8" s="3">
        <v>35</v>
      </c>
      <c r="H8" s="3">
        <f t="shared" si="0"/>
        <v>308.14999999999998</v>
      </c>
      <c r="I8" s="39">
        <v>1032.49</v>
      </c>
      <c r="J8" s="44"/>
      <c r="K8" s="16"/>
      <c r="U8" s="3">
        <v>30</v>
      </c>
      <c r="V8" s="3">
        <f t="shared" si="1"/>
        <v>303.14999999999998</v>
      </c>
      <c r="W8" s="14">
        <v>1.02</v>
      </c>
      <c r="X8" s="16"/>
      <c r="Y8" s="16"/>
      <c r="Z8" s="16"/>
      <c r="AA8" s="16"/>
    </row>
    <row r="9" spans="7:27" ht="19.5" x14ac:dyDescent="0.3">
      <c r="J9" s="44"/>
      <c r="K9" s="16"/>
      <c r="U9" s="3">
        <v>35</v>
      </c>
      <c r="V9" s="3">
        <f t="shared" si="1"/>
        <v>308.14999999999998</v>
      </c>
      <c r="W9" s="14">
        <v>0.93</v>
      </c>
      <c r="X9" s="20"/>
      <c r="Y9" s="45"/>
      <c r="Z9" s="20"/>
      <c r="AA9" s="16"/>
    </row>
    <row r="10" spans="7:27" ht="19.5" x14ac:dyDescent="0.3">
      <c r="G10" s="15"/>
      <c r="H10" s="16"/>
      <c r="I10" s="15"/>
      <c r="X10" s="20"/>
      <c r="Y10" s="20"/>
      <c r="Z10" s="20"/>
      <c r="AA10" s="16"/>
    </row>
    <row r="11" spans="7:27" ht="19.5" x14ac:dyDescent="0.3">
      <c r="G11" s="15"/>
      <c r="H11" s="16"/>
      <c r="I11" s="15"/>
      <c r="J11" s="16"/>
      <c r="V11" s="16"/>
      <c r="X11" s="15"/>
      <c r="Y11" s="15"/>
      <c r="Z11" s="15"/>
    </row>
    <row r="12" spans="7:27" ht="19.5" x14ac:dyDescent="0.3">
      <c r="G12" s="15"/>
      <c r="H12" s="16"/>
      <c r="I12" s="15"/>
      <c r="J12" s="16"/>
      <c r="V12" s="16"/>
      <c r="X12" s="15"/>
      <c r="Y12" s="20"/>
      <c r="Z12" s="15"/>
    </row>
    <row r="13" spans="7:27" ht="19.5" x14ac:dyDescent="0.3">
      <c r="G13" s="15"/>
      <c r="H13" s="16"/>
      <c r="I13" s="15"/>
      <c r="J13" s="16"/>
      <c r="V13" s="16"/>
      <c r="X13" s="15"/>
      <c r="Y13" s="20"/>
      <c r="Z13" s="15"/>
    </row>
    <row r="14" spans="7:27" ht="19.5" x14ac:dyDescent="0.3">
      <c r="J14" s="16"/>
      <c r="V14" s="16"/>
      <c r="X14" s="15"/>
      <c r="Y14" s="16"/>
      <c r="Z14" s="15"/>
    </row>
    <row r="15" spans="7:27" ht="19.5" x14ac:dyDescent="0.25">
      <c r="V15" s="15"/>
      <c r="X15" s="15"/>
      <c r="Y15" s="20"/>
      <c r="Z15" s="15"/>
    </row>
    <row r="16" spans="7:27" x14ac:dyDescent="0.25">
      <c r="X16" s="15"/>
      <c r="Y16" s="15"/>
      <c r="Z16" s="15"/>
    </row>
    <row r="17" spans="7:26" x14ac:dyDescent="0.25">
      <c r="X17" s="15"/>
      <c r="Y17" s="15"/>
      <c r="Z17" s="15"/>
    </row>
    <row r="18" spans="7:26" ht="19.5" x14ac:dyDescent="0.3">
      <c r="G18" s="30" t="s">
        <v>26</v>
      </c>
      <c r="H18" s="31"/>
      <c r="I18" s="11" t="s">
        <v>27</v>
      </c>
      <c r="X18" s="15"/>
      <c r="Y18" s="15"/>
      <c r="Z18" s="15"/>
    </row>
    <row r="19" spans="7:26" ht="21.75" x14ac:dyDescent="0.3">
      <c r="G19" s="10" t="s">
        <v>2</v>
      </c>
      <c r="H19" s="10" t="s">
        <v>3</v>
      </c>
      <c r="I19" s="38" t="s">
        <v>4</v>
      </c>
      <c r="J19" s="19"/>
      <c r="K19" s="19"/>
      <c r="X19" s="15"/>
      <c r="Y19" s="15"/>
      <c r="Z19" s="15"/>
    </row>
    <row r="20" spans="7:26" ht="19.5" x14ac:dyDescent="0.3">
      <c r="G20" s="3">
        <v>20</v>
      </c>
      <c r="H20" s="3">
        <f>273.15+G20</f>
        <v>293.14999999999998</v>
      </c>
      <c r="I20" s="40">
        <v>1081.03</v>
      </c>
      <c r="J20" s="19"/>
      <c r="K20" s="19"/>
      <c r="X20" s="15"/>
      <c r="Y20" s="15"/>
      <c r="Z20" s="15"/>
    </row>
    <row r="21" spans="7:26" ht="19.5" x14ac:dyDescent="0.3">
      <c r="G21" s="3">
        <v>25</v>
      </c>
      <c r="H21" s="3">
        <f>273.15+G21</f>
        <v>298.14999999999998</v>
      </c>
      <c r="I21" s="40">
        <v>1079.21</v>
      </c>
      <c r="J21" s="44"/>
      <c r="K21" s="16"/>
      <c r="X21" s="15"/>
      <c r="Y21" s="15"/>
      <c r="Z21" s="15"/>
    </row>
    <row r="22" spans="7:26" ht="19.5" x14ac:dyDescent="0.3">
      <c r="G22" s="3">
        <v>30</v>
      </c>
      <c r="H22" s="3">
        <f>273.15+G22</f>
        <v>303.14999999999998</v>
      </c>
      <c r="I22" s="40">
        <v>1077.0999999999999</v>
      </c>
      <c r="J22" s="44"/>
      <c r="K22" s="16"/>
      <c r="X22" s="15"/>
      <c r="Y22" s="15"/>
      <c r="Z22" s="15"/>
    </row>
    <row r="23" spans="7:26" ht="19.5" x14ac:dyDescent="0.3">
      <c r="G23" s="3">
        <v>35</v>
      </c>
      <c r="H23" s="3">
        <f>273.15+G23</f>
        <v>308.14999999999998</v>
      </c>
      <c r="I23" s="40">
        <v>1075.33</v>
      </c>
      <c r="J23" s="44"/>
      <c r="K23" s="44"/>
      <c r="X23" s="15"/>
      <c r="Y23" s="15"/>
      <c r="Z23" s="15"/>
    </row>
    <row r="24" spans="7:26" ht="19.5" x14ac:dyDescent="0.3">
      <c r="J24" s="44"/>
      <c r="K24" s="16"/>
      <c r="U24" s="30" t="s">
        <v>0</v>
      </c>
      <c r="V24" s="31"/>
      <c r="W24" s="10" t="s">
        <v>25</v>
      </c>
      <c r="X24" s="15"/>
      <c r="Y24" s="15"/>
      <c r="Z24" s="15"/>
    </row>
    <row r="25" spans="7:26" ht="19.5" x14ac:dyDescent="0.3">
      <c r="H25" s="16"/>
      <c r="I25" s="15"/>
      <c r="J25" s="44"/>
      <c r="K25" s="16"/>
      <c r="U25" s="10" t="s">
        <v>2</v>
      </c>
      <c r="V25" s="10" t="s">
        <v>3</v>
      </c>
      <c r="W25" s="26" t="s">
        <v>14</v>
      </c>
      <c r="X25" s="19"/>
      <c r="Y25" s="19"/>
      <c r="Z25" s="19"/>
    </row>
    <row r="26" spans="7:26" ht="19.5" x14ac:dyDescent="0.3">
      <c r="H26" s="16"/>
      <c r="I26" s="15"/>
      <c r="U26" s="3">
        <v>20</v>
      </c>
      <c r="V26" s="3">
        <f t="shared" ref="V26:V29" si="2">273.15+U26</f>
        <v>293.14999999999998</v>
      </c>
      <c r="W26" s="14">
        <v>1.6</v>
      </c>
      <c r="X26" s="19"/>
      <c r="Y26" s="19"/>
      <c r="Z26" s="19"/>
    </row>
    <row r="27" spans="7:26" ht="19.5" x14ac:dyDescent="0.3">
      <c r="H27" s="16"/>
      <c r="I27" s="15"/>
      <c r="J27" s="16"/>
      <c r="U27" s="3">
        <v>25</v>
      </c>
      <c r="V27" s="3">
        <f t="shared" si="2"/>
        <v>298.14999999999998</v>
      </c>
      <c r="W27" s="14">
        <v>1.43</v>
      </c>
      <c r="X27" s="20"/>
      <c r="Y27" s="20"/>
      <c r="Z27" s="20"/>
    </row>
    <row r="28" spans="7:26" ht="19.5" x14ac:dyDescent="0.3">
      <c r="H28" s="16"/>
      <c r="I28" s="15"/>
      <c r="J28" s="16"/>
      <c r="U28" s="3">
        <v>30</v>
      </c>
      <c r="V28" s="3">
        <f t="shared" si="2"/>
        <v>303.14999999999998</v>
      </c>
      <c r="W28" s="14">
        <v>1.27</v>
      </c>
      <c r="X28" s="20"/>
      <c r="Y28" s="20"/>
      <c r="Z28" s="20"/>
    </row>
    <row r="29" spans="7:26" ht="19.5" x14ac:dyDescent="0.3">
      <c r="J29" s="16"/>
      <c r="U29" s="3">
        <v>35</v>
      </c>
      <c r="V29" s="3">
        <f t="shared" si="2"/>
        <v>308.14999999999998</v>
      </c>
      <c r="W29" s="14">
        <v>1.1499999999999999</v>
      </c>
      <c r="X29" s="16"/>
      <c r="Y29" s="16"/>
      <c r="Z29" s="16"/>
    </row>
    <row r="30" spans="7:26" ht="19.5" x14ac:dyDescent="0.3">
      <c r="J30" s="16"/>
      <c r="X30" s="20"/>
      <c r="Y30" s="45"/>
      <c r="Z30" s="45"/>
    </row>
    <row r="31" spans="7:26" ht="19.5" x14ac:dyDescent="0.3">
      <c r="V31" s="16"/>
      <c r="X31" s="20"/>
      <c r="Y31" s="20"/>
      <c r="Z31" s="20"/>
    </row>
    <row r="32" spans="7:26" ht="19.5" x14ac:dyDescent="0.3">
      <c r="V32" s="16"/>
      <c r="X32" s="15"/>
      <c r="Y32" s="15"/>
      <c r="Z32" s="15"/>
    </row>
    <row r="33" spans="7:26" ht="19.5" x14ac:dyDescent="0.3">
      <c r="V33" s="16"/>
      <c r="X33" s="15"/>
      <c r="Y33" s="20"/>
      <c r="Z33" s="15"/>
    </row>
    <row r="34" spans="7:26" ht="19.5" x14ac:dyDescent="0.3">
      <c r="G34" s="30" t="s">
        <v>26</v>
      </c>
      <c r="H34" s="31"/>
      <c r="I34" s="11" t="s">
        <v>27</v>
      </c>
      <c r="V34" s="16"/>
      <c r="X34" s="15"/>
      <c r="Y34" s="20"/>
      <c r="Z34" s="15"/>
    </row>
    <row r="35" spans="7:26" ht="21.75" x14ac:dyDescent="0.3">
      <c r="G35" s="24" t="s">
        <v>2</v>
      </c>
      <c r="H35" s="24" t="s">
        <v>3</v>
      </c>
      <c r="I35" s="42" t="s">
        <v>5</v>
      </c>
      <c r="X35" s="15"/>
      <c r="Y35" s="16"/>
      <c r="Z35" s="15"/>
    </row>
    <row r="36" spans="7:26" ht="19.5" x14ac:dyDescent="0.3">
      <c r="G36" s="5">
        <v>20</v>
      </c>
      <c r="H36" s="5">
        <f t="shared" ref="H36:H39" si="3">273.15+G36</f>
        <v>293.14999999999998</v>
      </c>
      <c r="I36" s="40">
        <v>1127.3599999999999</v>
      </c>
      <c r="J36" s="27"/>
      <c r="K36" s="27"/>
      <c r="X36" s="15"/>
      <c r="Y36" s="20"/>
      <c r="Z36" s="15"/>
    </row>
    <row r="37" spans="7:26" ht="19.5" x14ac:dyDescent="0.3">
      <c r="G37" s="5">
        <v>25</v>
      </c>
      <c r="H37" s="5">
        <f t="shared" si="3"/>
        <v>298.14999999999998</v>
      </c>
      <c r="I37" s="40">
        <v>1124.5999999999999</v>
      </c>
      <c r="J37" s="27"/>
      <c r="K37" s="27"/>
      <c r="X37" s="15"/>
      <c r="Y37" s="15"/>
      <c r="Z37" s="15"/>
    </row>
    <row r="38" spans="7:26" ht="19.5" x14ac:dyDescent="0.3">
      <c r="G38" s="5">
        <v>30</v>
      </c>
      <c r="H38" s="5">
        <f t="shared" si="3"/>
        <v>303.14999999999998</v>
      </c>
      <c r="I38" s="40">
        <v>1122</v>
      </c>
      <c r="J38" s="44"/>
      <c r="K38" s="17"/>
      <c r="X38" s="15"/>
      <c r="Y38" s="15"/>
      <c r="Z38" s="15"/>
    </row>
    <row r="39" spans="7:26" ht="19.5" x14ac:dyDescent="0.3">
      <c r="G39" s="5">
        <v>35</v>
      </c>
      <c r="H39" s="5">
        <f t="shared" si="3"/>
        <v>308.14999999999998</v>
      </c>
      <c r="I39" s="40">
        <v>1120.8</v>
      </c>
      <c r="J39" s="44"/>
      <c r="K39" s="17"/>
      <c r="X39" s="15"/>
      <c r="Y39" s="15"/>
      <c r="Z39" s="15"/>
    </row>
    <row r="40" spans="7:26" ht="19.5" x14ac:dyDescent="0.25">
      <c r="J40" s="44"/>
      <c r="K40" s="44"/>
      <c r="X40" s="15"/>
      <c r="Y40" s="15"/>
      <c r="Z40" s="15"/>
    </row>
    <row r="41" spans="7:26" ht="19.5" x14ac:dyDescent="0.3">
      <c r="H41" s="17"/>
      <c r="I41" s="15"/>
      <c r="J41" s="44"/>
      <c r="K41" s="17"/>
      <c r="X41" s="15"/>
      <c r="Y41" s="15"/>
      <c r="Z41" s="15"/>
    </row>
    <row r="42" spans="7:26" ht="19.5" x14ac:dyDescent="0.3">
      <c r="H42" s="17"/>
      <c r="I42" s="15"/>
      <c r="J42" s="44"/>
      <c r="K42" s="17"/>
      <c r="X42" s="15"/>
      <c r="Y42" s="15"/>
      <c r="Z42" s="15"/>
    </row>
    <row r="43" spans="7:26" ht="19.5" x14ac:dyDescent="0.3">
      <c r="H43" s="17"/>
      <c r="I43" s="15"/>
      <c r="U43" s="30" t="s">
        <v>0</v>
      </c>
      <c r="V43" s="31"/>
      <c r="W43" s="10" t="s">
        <v>16</v>
      </c>
      <c r="X43" s="15"/>
      <c r="Y43" s="15"/>
      <c r="Z43" s="15"/>
    </row>
    <row r="44" spans="7:26" ht="19.5" x14ac:dyDescent="0.3">
      <c r="H44" s="17"/>
      <c r="I44" s="15"/>
      <c r="J44" s="17"/>
      <c r="U44" s="10" t="s">
        <v>2</v>
      </c>
      <c r="V44" s="10" t="s">
        <v>3</v>
      </c>
      <c r="W44" s="26" t="s">
        <v>13</v>
      </c>
      <c r="X44" s="15"/>
      <c r="Y44" s="15"/>
      <c r="Z44" s="15"/>
    </row>
    <row r="45" spans="7:26" ht="19.5" x14ac:dyDescent="0.3">
      <c r="J45" s="17"/>
      <c r="U45" s="3">
        <v>20</v>
      </c>
      <c r="V45" s="3">
        <f t="shared" ref="V45:V48" si="4">273.15+U45</f>
        <v>293.14999999999998</v>
      </c>
      <c r="W45" s="14">
        <v>2.13</v>
      </c>
      <c r="X45" s="19"/>
      <c r="Y45" s="19"/>
      <c r="Z45" s="19"/>
    </row>
    <row r="46" spans="7:26" ht="19.5" x14ac:dyDescent="0.3">
      <c r="J46" s="17"/>
      <c r="U46" s="3">
        <v>25</v>
      </c>
      <c r="V46" s="3">
        <f t="shared" si="4"/>
        <v>298.14999999999998</v>
      </c>
      <c r="W46" s="14">
        <v>1.85</v>
      </c>
      <c r="X46" s="19"/>
      <c r="Y46" s="19"/>
      <c r="Z46" s="19"/>
    </row>
    <row r="47" spans="7:26" ht="19.5" x14ac:dyDescent="0.3">
      <c r="J47" s="17"/>
      <c r="U47" s="3">
        <v>30</v>
      </c>
      <c r="V47" s="3">
        <f t="shared" si="4"/>
        <v>303.14999999999998</v>
      </c>
      <c r="W47" s="14">
        <v>1.67</v>
      </c>
      <c r="X47" s="20"/>
      <c r="Y47" s="20"/>
      <c r="Z47" s="20"/>
    </row>
    <row r="48" spans="7:26" ht="19.5" x14ac:dyDescent="0.3">
      <c r="U48" s="3">
        <v>35</v>
      </c>
      <c r="V48" s="3">
        <f t="shared" si="4"/>
        <v>308.14999999999998</v>
      </c>
      <c r="W48" s="14">
        <v>1.52</v>
      </c>
      <c r="X48" s="20"/>
      <c r="Y48" s="20"/>
      <c r="Z48" s="20"/>
    </row>
    <row r="49" spans="22:26" ht="19.5" x14ac:dyDescent="0.3">
      <c r="X49" s="16"/>
      <c r="Y49" s="16"/>
      <c r="Z49" s="16"/>
    </row>
    <row r="50" spans="22:26" ht="19.5" x14ac:dyDescent="0.3">
      <c r="V50" s="16"/>
      <c r="X50" s="20"/>
      <c r="Y50" s="45"/>
      <c r="Z50" s="45"/>
    </row>
    <row r="51" spans="22:26" ht="19.5" x14ac:dyDescent="0.3">
      <c r="V51" s="16"/>
      <c r="X51" s="20"/>
      <c r="Y51" s="20"/>
      <c r="Z51" s="20"/>
    </row>
    <row r="52" spans="22:26" ht="19.5" x14ac:dyDescent="0.3">
      <c r="V52" s="16"/>
      <c r="X52" s="15"/>
      <c r="Y52" s="15"/>
      <c r="Z52" s="15"/>
    </row>
    <row r="53" spans="22:26" ht="19.5" x14ac:dyDescent="0.3">
      <c r="V53" s="16"/>
      <c r="X53" s="15"/>
      <c r="Y53" s="20"/>
      <c r="Z53" s="15"/>
    </row>
    <row r="54" spans="22:26" ht="19.5" x14ac:dyDescent="0.25">
      <c r="X54" s="15"/>
      <c r="Y54" s="20"/>
      <c r="Z54" s="15"/>
    </row>
    <row r="55" spans="22:26" ht="19.5" x14ac:dyDescent="0.3">
      <c r="X55" s="15"/>
      <c r="Y55" s="16"/>
      <c r="Z55" s="15"/>
    </row>
    <row r="56" spans="22:26" ht="19.5" x14ac:dyDescent="0.25">
      <c r="X56" s="15"/>
      <c r="Y56" s="20"/>
      <c r="Z56" s="15"/>
    </row>
    <row r="73" spans="22:26" ht="19.5" x14ac:dyDescent="0.3">
      <c r="V73" s="30" t="s">
        <v>0</v>
      </c>
      <c r="W73" s="31"/>
      <c r="X73" s="11" t="s">
        <v>6</v>
      </c>
      <c r="Y73" s="10" t="s">
        <v>6</v>
      </c>
      <c r="Z73" s="10" t="s">
        <v>6</v>
      </c>
    </row>
    <row r="74" spans="22:26" ht="19.5" x14ac:dyDescent="0.3">
      <c r="V74" s="10" t="s">
        <v>2</v>
      </c>
      <c r="W74" s="10" t="s">
        <v>3</v>
      </c>
      <c r="X74" s="12" t="s">
        <v>7</v>
      </c>
      <c r="Y74" s="13" t="s">
        <v>8</v>
      </c>
      <c r="Z74" s="13" t="s">
        <v>10</v>
      </c>
    </row>
    <row r="75" spans="22:26" ht="19.5" x14ac:dyDescent="0.3">
      <c r="V75" s="3">
        <v>20</v>
      </c>
      <c r="W75" s="3">
        <f t="shared" ref="W75:W78" si="5">273.15+V75</f>
        <v>293.14999999999998</v>
      </c>
      <c r="X75" s="4">
        <v>71.48</v>
      </c>
      <c r="Y75" s="4">
        <v>73.69</v>
      </c>
      <c r="Z75" s="4">
        <v>74.099999999999994</v>
      </c>
    </row>
    <row r="76" spans="22:26" ht="19.5" x14ac:dyDescent="0.3">
      <c r="V76" s="3">
        <v>25</v>
      </c>
      <c r="W76" s="3">
        <f t="shared" si="5"/>
        <v>298.14999999999998</v>
      </c>
      <c r="X76" s="4">
        <v>72.025000000000006</v>
      </c>
      <c r="Y76" s="4">
        <v>72.400000000000006</v>
      </c>
      <c r="Z76" s="4">
        <v>73.766999999999996</v>
      </c>
    </row>
    <row r="77" spans="22:26" ht="19.5" x14ac:dyDescent="0.3">
      <c r="V77" s="3">
        <v>30</v>
      </c>
      <c r="W77" s="3">
        <f t="shared" si="5"/>
        <v>303.14999999999998</v>
      </c>
      <c r="X77" s="4">
        <v>69.06</v>
      </c>
      <c r="Y77" s="4">
        <v>73.39</v>
      </c>
      <c r="Z77" s="4">
        <v>73.338999999999999</v>
      </c>
    </row>
    <row r="78" spans="22:26" ht="19.5" x14ac:dyDescent="0.3">
      <c r="V78" s="3">
        <v>35</v>
      </c>
      <c r="W78" s="3">
        <f t="shared" si="5"/>
        <v>308.14999999999998</v>
      </c>
      <c r="X78" s="4">
        <v>70.849999999999994</v>
      </c>
      <c r="Y78" s="4">
        <v>71.838999999999999</v>
      </c>
      <c r="Z78" s="4">
        <v>71.989999999999995</v>
      </c>
    </row>
    <row r="79" spans="22:26" ht="19.5" x14ac:dyDescent="0.3">
      <c r="V79" s="19"/>
      <c r="W79" s="19"/>
    </row>
    <row r="80" spans="22:26" ht="19.5" x14ac:dyDescent="0.3">
      <c r="V80" s="16"/>
      <c r="W80" s="16"/>
    </row>
    <row r="81" spans="22:24" ht="19.5" x14ac:dyDescent="0.3">
      <c r="V81" s="16"/>
      <c r="W81" s="16"/>
      <c r="X81" s="19"/>
    </row>
    <row r="82" spans="22:24" ht="19.5" x14ac:dyDescent="0.3">
      <c r="V82" s="16"/>
      <c r="W82" s="16"/>
      <c r="X82" s="19"/>
    </row>
    <row r="83" spans="22:24" ht="19.5" x14ac:dyDescent="0.3">
      <c r="V83" s="16"/>
      <c r="W83" s="16"/>
      <c r="X83" s="23"/>
    </row>
    <row r="84" spans="22:24" ht="19.5" x14ac:dyDescent="0.3">
      <c r="V84" s="16"/>
      <c r="W84" s="16"/>
      <c r="X84" s="23"/>
    </row>
    <row r="85" spans="22:24" ht="19.5" x14ac:dyDescent="0.25">
      <c r="X85" s="23"/>
    </row>
    <row r="86" spans="22:24" ht="19.5" x14ac:dyDescent="0.25">
      <c r="X86" s="23"/>
    </row>
    <row r="87" spans="22:24" ht="19.5" x14ac:dyDescent="0.25">
      <c r="X87" s="23"/>
    </row>
  </sheetData>
  <mergeCells count="7">
    <mergeCell ref="G3:H3"/>
    <mergeCell ref="U4:V4"/>
    <mergeCell ref="G18:H18"/>
    <mergeCell ref="V73:W73"/>
    <mergeCell ref="G34:H34"/>
    <mergeCell ref="U24:V24"/>
    <mergeCell ref="U43:V4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7401-6AAD-45D0-9313-937473E30E83}">
  <dimension ref="G3:M44"/>
  <sheetViews>
    <sheetView topLeftCell="A13" workbookViewId="0">
      <selection activeCell="J45" sqref="J45"/>
    </sheetView>
  </sheetViews>
  <sheetFormatPr baseColWidth="10" defaultRowHeight="15" x14ac:dyDescent="0.25"/>
  <cols>
    <col min="3" max="3" width="12.7109375" customWidth="1"/>
    <col min="4" max="4" width="19.28515625" customWidth="1"/>
    <col min="5" max="5" width="18.85546875" customWidth="1"/>
    <col min="6" max="6" width="27" customWidth="1"/>
    <col min="7" max="7" width="13.7109375" customWidth="1"/>
    <col min="8" max="8" width="13.140625" customWidth="1"/>
    <col min="9" max="9" width="28.42578125" customWidth="1"/>
    <col min="10" max="10" width="33" customWidth="1"/>
    <col min="11" max="11" width="34.7109375" customWidth="1"/>
    <col min="12" max="13" width="18" style="15" customWidth="1"/>
    <col min="14" max="14" width="18" customWidth="1"/>
    <col min="15" max="18" width="20.7109375" customWidth="1"/>
    <col min="23" max="23" width="28.28515625" customWidth="1"/>
    <col min="24" max="24" width="30.42578125" customWidth="1"/>
    <col min="25" max="25" width="23.5703125" customWidth="1"/>
    <col min="26" max="26" width="29.28515625" customWidth="1"/>
  </cols>
  <sheetData>
    <row r="3" spans="7:13" ht="19.5" x14ac:dyDescent="0.3">
      <c r="G3" s="33" t="s">
        <v>0</v>
      </c>
      <c r="H3" s="34"/>
      <c r="I3" s="1" t="s">
        <v>1</v>
      </c>
      <c r="J3" s="1" t="s">
        <v>1</v>
      </c>
      <c r="K3" s="1" t="s">
        <v>1</v>
      </c>
    </row>
    <row r="4" spans="7:13" ht="21.75" x14ac:dyDescent="0.3">
      <c r="G4" s="1" t="s">
        <v>2</v>
      </c>
      <c r="H4" s="1" t="s">
        <v>3</v>
      </c>
      <c r="I4" s="2" t="s">
        <v>11</v>
      </c>
      <c r="J4" s="2" t="s">
        <v>22</v>
      </c>
      <c r="K4" s="2" t="s">
        <v>23</v>
      </c>
    </row>
    <row r="5" spans="7:13" ht="19.5" x14ac:dyDescent="0.3">
      <c r="G5" s="3">
        <v>20</v>
      </c>
      <c r="H5" s="3">
        <f t="shared" ref="H5:H8" si="0">273.15+G5</f>
        <v>293.14999999999998</v>
      </c>
      <c r="I5" s="4">
        <v>1039.07</v>
      </c>
      <c r="J5" s="4">
        <v>1083.42</v>
      </c>
      <c r="K5" s="4">
        <v>1130.42</v>
      </c>
    </row>
    <row r="6" spans="7:13" ht="19.5" x14ac:dyDescent="0.3">
      <c r="G6" s="3">
        <v>25</v>
      </c>
      <c r="H6" s="3">
        <f t="shared" si="0"/>
        <v>298.14999999999998</v>
      </c>
      <c r="I6" s="4">
        <v>1037.7</v>
      </c>
      <c r="J6" s="4">
        <v>1081.8499999999999</v>
      </c>
      <c r="K6" s="4">
        <v>1128.28</v>
      </c>
    </row>
    <row r="7" spans="7:13" ht="19.5" x14ac:dyDescent="0.3">
      <c r="G7" s="3">
        <v>30</v>
      </c>
      <c r="H7" s="3">
        <f t="shared" si="0"/>
        <v>303.14999999999998</v>
      </c>
      <c r="I7" s="4">
        <v>1035.78</v>
      </c>
      <c r="J7" s="4">
        <v>1079.75</v>
      </c>
      <c r="K7" s="4">
        <v>1125.68</v>
      </c>
    </row>
    <row r="8" spans="7:13" ht="19.5" x14ac:dyDescent="0.3">
      <c r="G8" s="3">
        <v>35</v>
      </c>
      <c r="H8" s="3">
        <f t="shared" si="0"/>
        <v>308.14999999999998</v>
      </c>
      <c r="I8" s="4">
        <v>1033.67</v>
      </c>
      <c r="J8" s="4">
        <v>1077.21</v>
      </c>
      <c r="K8" s="4">
        <v>1123.49</v>
      </c>
    </row>
    <row r="11" spans="7:13" ht="19.5" x14ac:dyDescent="0.3">
      <c r="L11" s="19"/>
      <c r="M11" s="19"/>
    </row>
    <row r="12" spans="7:13" ht="19.5" x14ac:dyDescent="0.3">
      <c r="L12" s="19"/>
      <c r="M12" s="19"/>
    </row>
    <row r="13" spans="7:13" ht="19.5" x14ac:dyDescent="0.3">
      <c r="L13" s="20"/>
      <c r="M13" s="16"/>
    </row>
    <row r="14" spans="7:13" ht="19.5" x14ac:dyDescent="0.3">
      <c r="L14" s="20"/>
      <c r="M14" s="16"/>
    </row>
    <row r="15" spans="7:13" ht="19.5" x14ac:dyDescent="0.3">
      <c r="L15" s="16"/>
      <c r="M15" s="16"/>
    </row>
    <row r="16" spans="7:13" ht="19.5" x14ac:dyDescent="0.3">
      <c r="L16" s="20"/>
      <c r="M16" s="16"/>
    </row>
    <row r="17" spans="7:13" ht="19.5" x14ac:dyDescent="0.3">
      <c r="L17" s="20"/>
      <c r="M17" s="16"/>
    </row>
    <row r="18" spans="7:13" ht="19.5" x14ac:dyDescent="0.3">
      <c r="G18" s="35" t="s">
        <v>0</v>
      </c>
      <c r="H18" s="36"/>
      <c r="I18" s="8" t="s">
        <v>12</v>
      </c>
      <c r="J18" s="8" t="s">
        <v>12</v>
      </c>
      <c r="K18" s="7" t="s">
        <v>12</v>
      </c>
    </row>
    <row r="19" spans="7:13" ht="19.5" x14ac:dyDescent="0.3">
      <c r="G19" s="7" t="s">
        <v>2</v>
      </c>
      <c r="H19" s="7" t="s">
        <v>3</v>
      </c>
      <c r="I19" s="9" t="s">
        <v>15</v>
      </c>
      <c r="J19" s="9" t="s">
        <v>14</v>
      </c>
      <c r="K19" s="9" t="s">
        <v>13</v>
      </c>
    </row>
    <row r="20" spans="7:13" ht="19.5" x14ac:dyDescent="0.3">
      <c r="G20" s="3">
        <v>20</v>
      </c>
      <c r="H20" s="3">
        <f t="shared" ref="H20:H23" si="1">273.15+G20</f>
        <v>293.14999999999998</v>
      </c>
      <c r="I20" s="4">
        <v>1.28</v>
      </c>
      <c r="J20" s="4">
        <v>1.69</v>
      </c>
      <c r="K20" s="4">
        <v>2.4700000000000002</v>
      </c>
    </row>
    <row r="21" spans="7:13" ht="19.5" x14ac:dyDescent="0.3">
      <c r="G21" s="3">
        <v>25</v>
      </c>
      <c r="H21" s="3">
        <f t="shared" si="1"/>
        <v>298.14999999999998</v>
      </c>
      <c r="I21" s="4">
        <v>1.1299999999999999</v>
      </c>
      <c r="J21" s="4">
        <v>1.52</v>
      </c>
      <c r="K21" s="4">
        <v>2.15</v>
      </c>
    </row>
    <row r="22" spans="7:13" ht="19.5" x14ac:dyDescent="0.3">
      <c r="G22" s="3">
        <v>30</v>
      </c>
      <c r="H22" s="3">
        <f t="shared" si="1"/>
        <v>303.14999999999998</v>
      </c>
      <c r="I22" s="4">
        <v>1.04</v>
      </c>
      <c r="J22" s="4">
        <v>1.37</v>
      </c>
      <c r="K22" s="4">
        <v>1.89</v>
      </c>
    </row>
    <row r="23" spans="7:13" ht="19.5" x14ac:dyDescent="0.3">
      <c r="G23" s="3">
        <v>35</v>
      </c>
      <c r="H23" s="3">
        <f t="shared" si="1"/>
        <v>308.14999999999998</v>
      </c>
      <c r="I23" s="4">
        <v>0.95</v>
      </c>
      <c r="J23" s="4">
        <v>1.26</v>
      </c>
      <c r="K23" s="4">
        <v>1.7</v>
      </c>
    </row>
    <row r="24" spans="7:13" x14ac:dyDescent="0.25">
      <c r="G24" s="15"/>
      <c r="H24" s="15"/>
      <c r="I24" s="15"/>
      <c r="J24" s="15"/>
      <c r="K24" s="15"/>
    </row>
    <row r="25" spans="7:13" ht="19.5" x14ac:dyDescent="0.3">
      <c r="G25" s="15"/>
      <c r="H25" s="16"/>
      <c r="I25" s="15"/>
      <c r="J25" s="16"/>
      <c r="K25" s="15"/>
    </row>
    <row r="26" spans="7:13" ht="19.5" x14ac:dyDescent="0.3">
      <c r="G26" s="15"/>
      <c r="H26" s="16"/>
      <c r="I26" s="15"/>
      <c r="J26" s="16"/>
      <c r="K26" s="15"/>
    </row>
    <row r="27" spans="7:13" ht="19.5" x14ac:dyDescent="0.3">
      <c r="G27" s="15"/>
      <c r="H27" s="16"/>
      <c r="I27" s="15"/>
      <c r="J27" s="16"/>
      <c r="K27" s="15"/>
    </row>
    <row r="28" spans="7:13" ht="19.5" x14ac:dyDescent="0.3">
      <c r="G28" s="15"/>
      <c r="H28" s="16"/>
      <c r="I28" s="15"/>
      <c r="J28" s="16"/>
      <c r="K28" s="15"/>
    </row>
    <row r="29" spans="7:13" x14ac:dyDescent="0.25">
      <c r="G29" s="15"/>
      <c r="H29" s="15"/>
      <c r="I29" s="15"/>
      <c r="J29" s="15"/>
      <c r="K29" s="15"/>
    </row>
    <row r="30" spans="7:13" x14ac:dyDescent="0.25">
      <c r="G30" s="15"/>
      <c r="H30" s="15"/>
      <c r="I30" s="15"/>
      <c r="J30" s="15"/>
      <c r="K30" s="15"/>
    </row>
    <row r="31" spans="7:13" x14ac:dyDescent="0.25">
      <c r="G31" s="15"/>
      <c r="H31" s="15"/>
      <c r="I31" s="15"/>
      <c r="J31" s="15"/>
      <c r="K31" s="15"/>
    </row>
    <row r="32" spans="7:13" x14ac:dyDescent="0.25">
      <c r="G32" s="15"/>
      <c r="H32" s="15"/>
      <c r="I32" s="15"/>
      <c r="J32" s="15"/>
      <c r="K32" s="15"/>
    </row>
    <row r="33" spans="7:11" x14ac:dyDescent="0.25">
      <c r="G33" s="15"/>
      <c r="H33" s="15"/>
      <c r="I33" s="15"/>
      <c r="J33" s="15"/>
      <c r="K33" s="15"/>
    </row>
    <row r="34" spans="7:11" ht="19.5" x14ac:dyDescent="0.3">
      <c r="G34" s="37"/>
      <c r="H34" s="37"/>
      <c r="I34" s="21"/>
      <c r="J34" s="21"/>
      <c r="K34" s="21"/>
    </row>
    <row r="35" spans="7:11" ht="19.5" x14ac:dyDescent="0.3">
      <c r="G35" s="21"/>
      <c r="H35" s="21"/>
      <c r="I35" s="21"/>
      <c r="J35" s="21"/>
      <c r="K35" s="21"/>
    </row>
    <row r="36" spans="7:11" ht="19.5" x14ac:dyDescent="0.3">
      <c r="G36" s="17"/>
      <c r="H36" s="17"/>
      <c r="I36" s="20"/>
      <c r="J36" s="17"/>
      <c r="K36" s="17"/>
    </row>
    <row r="37" spans="7:11" ht="19.5" x14ac:dyDescent="0.3">
      <c r="G37" s="30" t="s">
        <v>0</v>
      </c>
      <c r="H37" s="31"/>
      <c r="I37" s="11" t="s">
        <v>6</v>
      </c>
      <c r="J37" s="10" t="s">
        <v>6</v>
      </c>
      <c r="K37" s="10" t="s">
        <v>9</v>
      </c>
    </row>
    <row r="38" spans="7:11" ht="19.5" x14ac:dyDescent="0.3">
      <c r="G38" s="10" t="s">
        <v>2</v>
      </c>
      <c r="H38" s="10" t="s">
        <v>3</v>
      </c>
      <c r="I38" s="12" t="s">
        <v>7</v>
      </c>
      <c r="J38" s="13" t="s">
        <v>8</v>
      </c>
      <c r="K38" s="13" t="s">
        <v>10</v>
      </c>
    </row>
    <row r="39" spans="7:11" ht="19.5" x14ac:dyDescent="0.3">
      <c r="G39" s="3">
        <v>20</v>
      </c>
      <c r="H39" s="3">
        <f t="shared" ref="H39:H42" si="2">273.15+G39</f>
        <v>293.14999999999998</v>
      </c>
      <c r="I39" s="4">
        <v>72.849999999999994</v>
      </c>
      <c r="J39" s="4">
        <v>73.53</v>
      </c>
      <c r="K39" s="4">
        <v>74.89</v>
      </c>
    </row>
    <row r="40" spans="7:11" ht="19.5" x14ac:dyDescent="0.3">
      <c r="G40" s="3">
        <v>25</v>
      </c>
      <c r="H40" s="3">
        <f t="shared" si="2"/>
        <v>298.14999999999998</v>
      </c>
      <c r="I40" s="4">
        <v>70.66</v>
      </c>
      <c r="J40" s="4">
        <v>73.48</v>
      </c>
      <c r="K40" s="4">
        <v>74.72</v>
      </c>
    </row>
    <row r="41" spans="7:11" ht="19.5" x14ac:dyDescent="0.3">
      <c r="G41" s="3">
        <v>30</v>
      </c>
      <c r="H41" s="3">
        <f t="shared" si="2"/>
        <v>303.14999999999998</v>
      </c>
      <c r="I41" s="4">
        <v>71.58</v>
      </c>
      <c r="J41" s="4">
        <v>71.540000000000006</v>
      </c>
      <c r="K41" s="4">
        <v>73.53</v>
      </c>
    </row>
    <row r="42" spans="7:11" ht="19.5" x14ac:dyDescent="0.3">
      <c r="G42" s="3">
        <v>35</v>
      </c>
      <c r="H42" s="3">
        <f t="shared" si="2"/>
        <v>308.14999999999998</v>
      </c>
      <c r="I42" s="4">
        <v>71.05</v>
      </c>
      <c r="J42" s="50"/>
      <c r="K42" s="4">
        <v>73.89</v>
      </c>
    </row>
    <row r="43" spans="7:11" ht="19.5" x14ac:dyDescent="0.3">
      <c r="G43" s="15"/>
      <c r="H43" s="17"/>
      <c r="I43" s="15"/>
      <c r="J43" s="17"/>
      <c r="K43" s="15"/>
    </row>
    <row r="44" spans="7:11" ht="19.5" x14ac:dyDescent="0.3">
      <c r="G44" s="15"/>
      <c r="H44" s="17"/>
      <c r="I44" s="15"/>
      <c r="J44" s="17"/>
      <c r="K44" s="15"/>
    </row>
  </sheetData>
  <mergeCells count="4">
    <mergeCell ref="G3:H3"/>
    <mergeCell ref="G18:H18"/>
    <mergeCell ref="G37:H37"/>
    <mergeCell ref="G34:H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226A-EBC8-4711-813F-06A7361A01C8}">
  <dimension ref="C4:E12"/>
  <sheetViews>
    <sheetView workbookViewId="0">
      <selection activeCell="C29" sqref="C29"/>
    </sheetView>
  </sheetViews>
  <sheetFormatPr baseColWidth="10" defaultRowHeight="15" x14ac:dyDescent="0.25"/>
  <sheetData>
    <row r="4" spans="3:5" x14ac:dyDescent="0.25">
      <c r="C4">
        <v>0</v>
      </c>
      <c r="E4">
        <v>308.14999999999998</v>
      </c>
    </row>
    <row r="5" spans="3:5" x14ac:dyDescent="0.25">
      <c r="C5">
        <v>1</v>
      </c>
      <c r="E5">
        <v>308.14999999999998</v>
      </c>
    </row>
    <row r="6" spans="3:5" x14ac:dyDescent="0.25">
      <c r="C6">
        <v>1</v>
      </c>
      <c r="E6">
        <v>305.14999999999998</v>
      </c>
    </row>
    <row r="7" spans="3:5" x14ac:dyDescent="0.25">
      <c r="C7">
        <v>2</v>
      </c>
      <c r="E7">
        <v>305.14999999999998</v>
      </c>
    </row>
    <row r="8" spans="3:5" x14ac:dyDescent="0.25">
      <c r="C8">
        <v>2</v>
      </c>
      <c r="E8">
        <v>303.14999999999998</v>
      </c>
    </row>
    <row r="9" spans="3:5" x14ac:dyDescent="0.25">
      <c r="C9">
        <v>3</v>
      </c>
      <c r="E9">
        <v>303.14999999999998</v>
      </c>
    </row>
    <row r="10" spans="3:5" x14ac:dyDescent="0.25">
      <c r="C10">
        <v>3</v>
      </c>
      <c r="E10">
        <v>303.14999999999998</v>
      </c>
    </row>
    <row r="11" spans="3:5" x14ac:dyDescent="0.25">
      <c r="C11">
        <v>4</v>
      </c>
      <c r="E11">
        <v>303.14999999999998</v>
      </c>
    </row>
    <row r="12" spans="3:5" x14ac:dyDescent="0.25">
      <c r="C12">
        <v>5</v>
      </c>
      <c r="E12">
        <v>303.14999999999998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Glucosa</vt:lpstr>
      <vt:lpstr>Sacarosa</vt:lpstr>
      <vt:lpstr>Threalosa</vt:lpstr>
      <vt:lpstr>Anneling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</dc:creator>
  <cp:lastModifiedBy>antonio reyes</cp:lastModifiedBy>
  <dcterms:created xsi:type="dcterms:W3CDTF">2026-03-27T15:41:31Z</dcterms:created>
  <dcterms:modified xsi:type="dcterms:W3CDTF">2026-08-19T00:06:52Z</dcterms:modified>
</cp:coreProperties>
</file>