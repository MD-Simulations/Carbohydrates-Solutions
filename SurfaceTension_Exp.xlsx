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Escritorio\Proyecto Azucarad_Finales\"/>
    </mc:Choice>
  </mc:AlternateContent>
  <xr:revisionPtr revIDLastSave="0" documentId="8_{751CC489-6897-4691-AC91-36FC86A14685}" xr6:coauthVersionLast="47" xr6:coauthVersionMax="47" xr10:uidLastSave="{00000000-0000-0000-0000-000000000000}"/>
  <bookViews>
    <workbookView xWindow="-120" yWindow="-120" windowWidth="20730" windowHeight="11040" firstSheet="1" activeTab="6" xr2:uid="{00000000-000D-0000-FFFF-FFFF00000000}"/>
  </bookViews>
  <sheets>
    <sheet name="H2O" sheetId="1" r:id="rId1"/>
    <sheet name="Sacarosa 10%" sheetId="2" r:id="rId2"/>
    <sheet name="sacarosa 20%" sheetId="3" r:id="rId3"/>
    <sheet name="Sacarosa 30%" sheetId="4" r:id="rId4"/>
    <sheet name="Glucose 10%" sheetId="5" r:id="rId5"/>
    <sheet name="GLUCOSE 20%" sheetId="6" r:id="rId6"/>
    <sheet name="Glu 30" sheetId="7" r:id="rId7"/>
    <sheet name="thr 10%" sheetId="8" r:id="rId8"/>
    <sheet name="Hoja2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4" l="1"/>
  <c r="D41" i="4"/>
  <c r="C42" i="4"/>
  <c r="C41" i="4"/>
  <c r="B42" i="4"/>
  <c r="B41" i="4"/>
  <c r="D50" i="3"/>
  <c r="D49" i="3"/>
  <c r="B50" i="3"/>
  <c r="C50" i="3"/>
  <c r="C49" i="3"/>
  <c r="B49" i="3"/>
  <c r="D73" i="5"/>
  <c r="C73" i="5"/>
  <c r="B73" i="5"/>
  <c r="E72" i="5"/>
  <c r="D72" i="5"/>
  <c r="C72" i="5"/>
  <c r="B72" i="5"/>
  <c r="A42" i="4"/>
  <c r="A41" i="4"/>
  <c r="A50" i="3"/>
  <c r="A49" i="3"/>
  <c r="D61" i="2"/>
  <c r="C61" i="2"/>
  <c r="B61" i="2"/>
  <c r="A61" i="2"/>
  <c r="A60" i="2"/>
  <c r="D60" i="2"/>
  <c r="C60" i="2"/>
  <c r="B60" i="2"/>
  <c r="A63" i="2"/>
  <c r="A46" i="4"/>
  <c r="AE6" i="1" l="1"/>
  <c r="V6" i="1"/>
  <c r="K6" i="1"/>
  <c r="B6" i="1"/>
  <c r="B52" i="1"/>
  <c r="D39" i="7"/>
  <c r="C39" i="7"/>
  <c r="B39" i="7"/>
  <c r="A39" i="7"/>
  <c r="D64" i="6"/>
  <c r="C64" i="6"/>
  <c r="A64" i="6"/>
  <c r="B64" i="6"/>
  <c r="E77" i="5"/>
  <c r="D77" i="5"/>
  <c r="C77" i="5"/>
  <c r="B77" i="5"/>
  <c r="D46" i="4"/>
  <c r="C46" i="4"/>
  <c r="B46" i="4"/>
  <c r="D53" i="3"/>
  <c r="C53" i="3"/>
  <c r="B53" i="3"/>
  <c r="A53" i="3"/>
  <c r="D63" i="2"/>
  <c r="C63" i="2"/>
  <c r="B63" i="2"/>
  <c r="E52" i="1"/>
  <c r="D52" i="1"/>
  <c r="C52" i="1"/>
</calcChain>
</file>

<file path=xl/sharedStrings.xml><?xml version="1.0" encoding="utf-8"?>
<sst xmlns="http://schemas.openxmlformats.org/spreadsheetml/2006/main" count="14" uniqueCount="8">
  <si>
    <t>Temperatura</t>
  </si>
  <si>
    <t>tension superficial</t>
  </si>
  <si>
    <t>Temp</t>
  </si>
  <si>
    <t xml:space="preserve">Tensión superficial </t>
  </si>
  <si>
    <t>x</t>
  </si>
  <si>
    <t xml:space="preserve">tension superficial </t>
  </si>
  <si>
    <t>TENSION SUPERFICIAL GLUCOSA 30%</t>
  </si>
  <si>
    <t xml:space="preserve">manuel !!!! Aquí estan el resto de las medidas que obtuve , aunque las de 35 estan un poco confusas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</si>
</sst>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2A8D0"/>
        <bgColor indexed="64"/>
      </patternFill>
    </fill>
    <fill>
      <patternFill patternType="solid">
        <fgColor rgb="FFFF8CDB"/>
        <bgColor indexed="64"/>
      </patternFill>
    </fill>
    <fill>
      <patternFill patternType="solid">
        <fgColor rgb="FFCF6E6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1" fontId="0" fillId="2" borderId="0" xfId="0" applyNumberFormat="1" applyFill="1"/>
    <xf numFmtId="0" fontId="0" fillId="7" borderId="0" xfId="0" applyFill="1"/>
    <xf numFmtId="0" fontId="0" fillId="6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1" fillId="2" borderId="0" xfId="0" applyFont="1" applyFill="1"/>
    <xf numFmtId="0" fontId="1" fillId="5" borderId="0" xfId="0" applyFont="1" applyFill="1"/>
    <xf numFmtId="0" fontId="2" fillId="8" borderId="0" xfId="0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D60093"/>
      <color rgb="FFA50021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609599</xdr:colOff>
      <xdr:row>9</xdr:row>
      <xdr:rowOff>190499</xdr:rowOff>
    </xdr:from>
    <xdr:to>
      <xdr:col>13</xdr:col>
      <xdr:colOff>455554</xdr:colOff>
      <xdr:row>22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599" y="1904999"/>
          <a:ext cx="4722755" cy="240030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13</xdr:col>
      <xdr:colOff>1652</xdr:colOff>
      <xdr:row>36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4572000"/>
          <a:ext cx="4268852" cy="23622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352424</xdr:colOff>
      <xdr:row>10</xdr:row>
      <xdr:rowOff>47625</xdr:rowOff>
    </xdr:from>
    <xdr:to>
      <xdr:col>21</xdr:col>
      <xdr:colOff>504825</xdr:colOff>
      <xdr:row>22</xdr:row>
      <xdr:rowOff>50348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86824" y="1952625"/>
          <a:ext cx="4419601" cy="2288723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24</xdr:row>
      <xdr:rowOff>28576</xdr:rowOff>
    </xdr:from>
    <xdr:to>
      <xdr:col>20</xdr:col>
      <xdr:colOff>552450</xdr:colOff>
      <xdr:row>36</xdr:row>
      <xdr:rowOff>133350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62975" y="4600576"/>
          <a:ext cx="4181475" cy="2390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561976</xdr:colOff>
      <xdr:row>8</xdr:row>
      <xdr:rowOff>47625</xdr:rowOff>
    </xdr:from>
    <xdr:to>
      <xdr:col>11</xdr:col>
      <xdr:colOff>447676</xdr:colOff>
      <xdr:row>17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0376" y="1571625"/>
          <a:ext cx="4152900" cy="179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47625</xdr:rowOff>
    </xdr:from>
    <xdr:to>
      <xdr:col>11</xdr:col>
      <xdr:colOff>590550</xdr:colOff>
      <xdr:row>34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3857625"/>
          <a:ext cx="4248150" cy="2657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20</xdr:col>
      <xdr:colOff>228600</xdr:colOff>
      <xdr:row>18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1524000"/>
          <a:ext cx="4495800" cy="19335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20</xdr:col>
      <xdr:colOff>371475</xdr:colOff>
      <xdr:row>34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4000500"/>
          <a:ext cx="4638675" cy="2571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11</xdr:col>
      <xdr:colOff>19049</xdr:colOff>
      <xdr:row>17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7050" y="1524000"/>
          <a:ext cx="3676649" cy="174307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19</xdr:row>
      <xdr:rowOff>0</xdr:rowOff>
    </xdr:from>
    <xdr:to>
      <xdr:col>11</xdr:col>
      <xdr:colOff>1</xdr:colOff>
      <xdr:row>31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7051" y="3619500"/>
          <a:ext cx="3657600" cy="24003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28576</xdr:colOff>
      <xdr:row>8</xdr:row>
      <xdr:rowOff>28576</xdr:rowOff>
    </xdr:from>
    <xdr:to>
      <xdr:col>19</xdr:col>
      <xdr:colOff>238125</xdr:colOff>
      <xdr:row>16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62826" y="1552576"/>
          <a:ext cx="4476749" cy="1657349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19</xdr:row>
      <xdr:rowOff>0</xdr:rowOff>
    </xdr:from>
    <xdr:to>
      <xdr:col>21</xdr:col>
      <xdr:colOff>213875</xdr:colOff>
      <xdr:row>30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4251" y="3619500"/>
          <a:ext cx="5700274" cy="2190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0</xdr:rowOff>
    </xdr:from>
    <xdr:to>
      <xdr:col>12</xdr:col>
      <xdr:colOff>462156</xdr:colOff>
      <xdr:row>16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1850" y="1485900"/>
          <a:ext cx="4119756" cy="15621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19</xdr:row>
      <xdr:rowOff>0</xdr:rowOff>
    </xdr:from>
    <xdr:to>
      <xdr:col>12</xdr:col>
      <xdr:colOff>361950</xdr:colOff>
      <xdr:row>27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1851" y="3581400"/>
          <a:ext cx="4019549" cy="1600200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28576</xdr:colOff>
      <xdr:row>8</xdr:row>
      <xdr:rowOff>1</xdr:rowOff>
    </xdr:from>
    <xdr:to>
      <xdr:col>22</xdr:col>
      <xdr:colOff>198836</xdr:colOff>
      <xdr:row>16</xdr:row>
      <xdr:rowOff>19051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77226" y="1485901"/>
          <a:ext cx="5047060" cy="154305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22</xdr:col>
      <xdr:colOff>304800</xdr:colOff>
      <xdr:row>27</xdr:row>
      <xdr:rowOff>17526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48650" y="3581400"/>
          <a:ext cx="5181600" cy="15415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1</xdr:rowOff>
    </xdr:from>
    <xdr:to>
      <xdr:col>11</xdr:col>
      <xdr:colOff>454417</xdr:colOff>
      <xdr:row>16</xdr:row>
      <xdr:rowOff>57151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524001"/>
          <a:ext cx="4112017" cy="1581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12</xdr:col>
      <xdr:colOff>218956</xdr:colOff>
      <xdr:row>26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3619500"/>
          <a:ext cx="4486156" cy="1343025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</xdr:row>
      <xdr:rowOff>0</xdr:rowOff>
    </xdr:from>
    <xdr:to>
      <xdr:col>19</xdr:col>
      <xdr:colOff>133351</xdr:colOff>
      <xdr:row>16</xdr:row>
      <xdr:rowOff>168389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1" y="1524000"/>
          <a:ext cx="3790950" cy="169238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1</xdr:rowOff>
    </xdr:from>
    <xdr:to>
      <xdr:col>19</xdr:col>
      <xdr:colOff>276225</xdr:colOff>
      <xdr:row>26</xdr:row>
      <xdr:rowOff>145383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3619501"/>
          <a:ext cx="3933825" cy="147888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16</xdr:row>
      <xdr:rowOff>1</xdr:rowOff>
    </xdr:from>
    <xdr:to>
      <xdr:col>10</xdr:col>
      <xdr:colOff>419755</xdr:colOff>
      <xdr:row>22</xdr:row>
      <xdr:rowOff>119063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048001"/>
          <a:ext cx="4229755" cy="126206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1</xdr:rowOff>
    </xdr:from>
    <xdr:to>
      <xdr:col>11</xdr:col>
      <xdr:colOff>238125</xdr:colOff>
      <xdr:row>33</xdr:row>
      <xdr:rowOff>122277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0" y="4953001"/>
          <a:ext cx="4810125" cy="1455776"/>
        </a:xfrm>
        <a:prstGeom prst="rect">
          <a:avLst/>
        </a:prstGeom>
      </xdr:spPr>
    </xdr:pic>
    <xdr:clientData/>
  </xdr:twoCellAnchor>
  <xdr:twoCellAnchor editAs="oneCell">
    <xdr:from>
      <xdr:col>11</xdr:col>
      <xdr:colOff>714375</xdr:colOff>
      <xdr:row>17</xdr:row>
      <xdr:rowOff>0</xdr:rowOff>
    </xdr:from>
    <xdr:to>
      <xdr:col>18</xdr:col>
      <xdr:colOff>750094</xdr:colOff>
      <xdr:row>25</xdr:row>
      <xdr:rowOff>102569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96375" y="3238500"/>
          <a:ext cx="5369719" cy="1626569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27</xdr:row>
      <xdr:rowOff>0</xdr:rowOff>
    </xdr:from>
    <xdr:to>
      <xdr:col>18</xdr:col>
      <xdr:colOff>654845</xdr:colOff>
      <xdr:row>35</xdr:row>
      <xdr:rowOff>40093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1" y="5143500"/>
          <a:ext cx="5226844" cy="1564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2"/>
  <sheetViews>
    <sheetView topLeftCell="F1" workbookViewId="0">
      <selection activeCell="AG2" sqref="AG2:AP2"/>
    </sheetView>
  </sheetViews>
  <sheetFormatPr baseColWidth="10" defaultColWidth="9.140625" defaultRowHeight="15" x14ac:dyDescent="0.25"/>
  <sheetData>
    <row r="1" spans="1:42" x14ac:dyDescent="0.25">
      <c r="A1" s="1" t="s">
        <v>0</v>
      </c>
      <c r="B1" s="16" t="s">
        <v>1</v>
      </c>
      <c r="C1" s="16"/>
      <c r="D1" s="16"/>
      <c r="E1" s="16"/>
      <c r="F1" s="16"/>
      <c r="G1" s="16"/>
      <c r="H1" s="16"/>
      <c r="I1" s="16"/>
      <c r="J1" s="16"/>
      <c r="K1" s="16"/>
    </row>
    <row r="2" spans="1:42" x14ac:dyDescent="0.25">
      <c r="A2" s="1">
        <v>20</v>
      </c>
      <c r="B2" s="1">
        <v>72.62</v>
      </c>
      <c r="C2" s="1">
        <v>72.41</v>
      </c>
      <c r="D2" s="1">
        <v>72.97</v>
      </c>
      <c r="E2" s="1">
        <v>72.459999999999994</v>
      </c>
      <c r="F2" s="1">
        <v>72.11</v>
      </c>
      <c r="G2" s="1">
        <v>73.16</v>
      </c>
      <c r="H2" s="1">
        <v>72.94</v>
      </c>
      <c r="I2" s="1">
        <v>72.81</v>
      </c>
      <c r="J2" s="1">
        <v>72.260000000000005</v>
      </c>
      <c r="K2" s="4">
        <v>72.739999999999995</v>
      </c>
      <c r="L2" s="4">
        <v>72.790000000000006</v>
      </c>
      <c r="M2" s="4">
        <v>72.239999999999995</v>
      </c>
      <c r="N2" s="4">
        <v>72.290000000000006</v>
      </c>
      <c r="O2" s="4">
        <v>72.22</v>
      </c>
      <c r="P2" s="4">
        <v>72.150000000000006</v>
      </c>
      <c r="Q2" s="4">
        <v>72.349999999999994</v>
      </c>
      <c r="R2" s="4">
        <v>72.39</v>
      </c>
      <c r="S2" s="4">
        <v>72.39</v>
      </c>
      <c r="T2" s="4">
        <v>72.58</v>
      </c>
      <c r="U2" s="4">
        <v>72.62</v>
      </c>
      <c r="V2" s="4">
        <v>72.239999999999995</v>
      </c>
      <c r="W2" s="4">
        <v>72.3</v>
      </c>
      <c r="X2" s="2">
        <v>72.78</v>
      </c>
      <c r="Y2" s="2">
        <v>72.84</v>
      </c>
      <c r="Z2" s="2">
        <v>72.959999999999994</v>
      </c>
      <c r="AA2" s="2">
        <v>72.569999999999993</v>
      </c>
      <c r="AB2" s="2">
        <v>72.61</v>
      </c>
      <c r="AC2" s="2">
        <v>72.72</v>
      </c>
      <c r="AD2" s="2">
        <v>72.900000000000006</v>
      </c>
      <c r="AE2" s="2">
        <v>72.56</v>
      </c>
      <c r="AF2" s="2">
        <v>72.650000000000006</v>
      </c>
      <c r="AG2" s="3">
        <v>72.14</v>
      </c>
      <c r="AH2" s="3">
        <v>72.260000000000005</v>
      </c>
      <c r="AI2" s="3">
        <v>71.819999999999993</v>
      </c>
      <c r="AJ2" s="3">
        <v>72.38</v>
      </c>
      <c r="AK2" s="3">
        <v>72.53</v>
      </c>
      <c r="AL2" s="3">
        <v>72.97</v>
      </c>
      <c r="AM2" s="3">
        <v>73.05</v>
      </c>
      <c r="AN2" s="3">
        <v>72.13</v>
      </c>
      <c r="AO2" s="3">
        <v>72.209999999999994</v>
      </c>
      <c r="AP2" s="3">
        <v>72.25</v>
      </c>
    </row>
    <row r="3" spans="1:42" x14ac:dyDescent="0.25">
      <c r="A3" s="1">
        <v>25</v>
      </c>
      <c r="B3" s="1">
        <v>71.760000000000005</v>
      </c>
      <c r="C3" s="1">
        <v>71.930000000000007</v>
      </c>
      <c r="D3" s="1">
        <v>71.83</v>
      </c>
      <c r="E3" s="1">
        <v>71.599999999999994</v>
      </c>
      <c r="F3" s="1">
        <v>71.83</v>
      </c>
      <c r="G3" s="1">
        <v>71.8</v>
      </c>
      <c r="H3" s="1">
        <v>71.599999999999994</v>
      </c>
      <c r="I3" s="1">
        <v>72.03</v>
      </c>
      <c r="J3" s="1">
        <v>72.13</v>
      </c>
      <c r="K3" s="4">
        <v>72.22</v>
      </c>
      <c r="L3" s="4">
        <v>72.11</v>
      </c>
      <c r="M3" s="4">
        <v>71.930000000000007</v>
      </c>
      <c r="N3" s="4">
        <v>71.95</v>
      </c>
      <c r="O3" s="4">
        <v>71.89</v>
      </c>
      <c r="P3" s="4">
        <v>71.989999999999995</v>
      </c>
      <c r="Q3" s="4">
        <v>71.92</v>
      </c>
      <c r="R3" s="4">
        <v>71.78</v>
      </c>
      <c r="S3" s="4">
        <v>71.64</v>
      </c>
      <c r="T3" s="4"/>
      <c r="U3" s="2">
        <v>72.069999999999993</v>
      </c>
      <c r="V3" s="2">
        <v>72.42</v>
      </c>
      <c r="W3" s="2">
        <v>71.739999999999995</v>
      </c>
      <c r="X3" s="2">
        <v>71.94</v>
      </c>
      <c r="Y3" s="2">
        <v>72.39</v>
      </c>
      <c r="Z3" s="2">
        <v>72.33</v>
      </c>
      <c r="AA3" s="2">
        <v>72.239999999999995</v>
      </c>
      <c r="AB3" s="2">
        <v>72.44</v>
      </c>
      <c r="AC3" s="2">
        <v>72.510000000000005</v>
      </c>
      <c r="AD3" s="3">
        <v>71.59</v>
      </c>
      <c r="AE3" s="3">
        <v>71.56</v>
      </c>
      <c r="AF3" s="3">
        <v>71.650000000000006</v>
      </c>
      <c r="AG3" s="3">
        <v>71.88</v>
      </c>
      <c r="AH3" s="3">
        <v>71.8</v>
      </c>
      <c r="AI3" s="3">
        <v>71.75</v>
      </c>
      <c r="AJ3" s="3">
        <v>72</v>
      </c>
      <c r="AK3" s="3">
        <v>71.989999999999995</v>
      </c>
      <c r="AL3" s="3">
        <v>71.69</v>
      </c>
      <c r="AM3" s="3">
        <v>71.88</v>
      </c>
    </row>
    <row r="4" spans="1:42" x14ac:dyDescent="0.25">
      <c r="A4" s="1">
        <v>30</v>
      </c>
      <c r="B4" s="1">
        <v>69.98</v>
      </c>
      <c r="C4" s="1">
        <v>70.94</v>
      </c>
      <c r="D4" s="1">
        <v>70.959999999999994</v>
      </c>
      <c r="E4" s="1">
        <v>71.34</v>
      </c>
      <c r="F4" s="1">
        <v>71.959999999999994</v>
      </c>
      <c r="G4" s="1">
        <v>70.47</v>
      </c>
      <c r="H4" s="1">
        <v>70.83</v>
      </c>
      <c r="I4" s="1">
        <v>70.89</v>
      </c>
      <c r="J4" s="1">
        <v>70.91</v>
      </c>
      <c r="K4" s="4">
        <v>71.430000000000007</v>
      </c>
      <c r="L4" s="4">
        <v>71.31</v>
      </c>
      <c r="M4" s="4">
        <v>71.510000000000005</v>
      </c>
      <c r="N4" s="4">
        <v>71.03</v>
      </c>
      <c r="O4" s="4">
        <v>71.03</v>
      </c>
      <c r="P4" s="4">
        <v>71.27</v>
      </c>
      <c r="Q4" s="4">
        <v>71.52</v>
      </c>
      <c r="R4" s="4">
        <v>71.44</v>
      </c>
      <c r="S4" s="4">
        <v>71.28</v>
      </c>
      <c r="T4" s="4"/>
      <c r="U4" s="2">
        <v>71.55</v>
      </c>
      <c r="V4" s="2">
        <v>71.599999999999994</v>
      </c>
      <c r="W4" s="2">
        <v>71.400000000000006</v>
      </c>
      <c r="X4" s="2">
        <v>71.510000000000005</v>
      </c>
      <c r="Y4" s="2">
        <v>71.349999999999994</v>
      </c>
      <c r="Z4" s="2">
        <v>71.7</v>
      </c>
      <c r="AA4" s="2">
        <v>71.400000000000006</v>
      </c>
      <c r="AB4" s="2">
        <v>71.12</v>
      </c>
      <c r="AC4" s="2">
        <v>71.25</v>
      </c>
      <c r="AD4" s="3">
        <v>70.17</v>
      </c>
      <c r="AE4" s="3">
        <v>70.06</v>
      </c>
      <c r="AF4" s="3">
        <v>69.77</v>
      </c>
      <c r="AG4" s="3">
        <v>70.209999999999994</v>
      </c>
      <c r="AH4" s="3">
        <v>70.180000000000007</v>
      </c>
      <c r="AI4" s="3">
        <v>70.2</v>
      </c>
      <c r="AJ4" s="3">
        <v>69.989999999999995</v>
      </c>
      <c r="AK4" s="3">
        <v>70.28</v>
      </c>
      <c r="AL4" s="3">
        <v>69.900000000000006</v>
      </c>
      <c r="AM4" s="3"/>
    </row>
    <row r="5" spans="1:42" x14ac:dyDescent="0.25">
      <c r="A5" s="1">
        <v>35</v>
      </c>
      <c r="B5" s="1">
        <v>70.27</v>
      </c>
      <c r="C5" s="1">
        <v>70.25</v>
      </c>
      <c r="D5" s="1">
        <v>70.31</v>
      </c>
      <c r="E5" s="1">
        <v>70.2</v>
      </c>
      <c r="F5" s="1">
        <v>70.58</v>
      </c>
      <c r="G5" s="1">
        <v>70.33</v>
      </c>
      <c r="H5" s="1">
        <v>70.34</v>
      </c>
      <c r="I5" s="1">
        <v>70.27</v>
      </c>
      <c r="J5" s="1">
        <v>70.31</v>
      </c>
      <c r="K5" s="4">
        <v>70.87</v>
      </c>
      <c r="L5" s="4">
        <v>70.97</v>
      </c>
      <c r="M5" s="4">
        <v>71.13</v>
      </c>
      <c r="N5" s="4">
        <v>71.239999999999995</v>
      </c>
      <c r="O5" s="4">
        <v>70.790000000000006</v>
      </c>
      <c r="P5" s="4">
        <v>70.709999999999994</v>
      </c>
      <c r="Q5" s="4">
        <v>70.77</v>
      </c>
      <c r="R5" s="4">
        <v>70.56</v>
      </c>
      <c r="S5" s="4">
        <v>70.94</v>
      </c>
      <c r="T5" s="4"/>
      <c r="U5" s="2">
        <v>70.64</v>
      </c>
      <c r="V5" s="2">
        <v>70.56</v>
      </c>
      <c r="W5" s="2">
        <v>70.69</v>
      </c>
      <c r="X5" s="2">
        <v>70.66</v>
      </c>
      <c r="Y5" s="2">
        <v>70.84</v>
      </c>
      <c r="Z5" s="2">
        <v>70.89</v>
      </c>
      <c r="AA5" s="2">
        <v>70.510000000000005</v>
      </c>
      <c r="AB5" s="2">
        <v>70.77</v>
      </c>
      <c r="AC5" s="2">
        <v>70.260000000000005</v>
      </c>
      <c r="AD5" s="3">
        <v>68.989999999999995</v>
      </c>
      <c r="AE5" s="3">
        <v>69.14</v>
      </c>
      <c r="AF5" s="3">
        <v>68.650000000000006</v>
      </c>
      <c r="AG5" s="3">
        <v>69.06</v>
      </c>
      <c r="AH5" s="3">
        <v>68.91</v>
      </c>
      <c r="AI5" s="3">
        <v>68.97</v>
      </c>
      <c r="AJ5" s="3">
        <v>68.66</v>
      </c>
      <c r="AK5" s="3">
        <v>69.2</v>
      </c>
      <c r="AL5" s="3">
        <v>69.16</v>
      </c>
      <c r="AM5" s="3"/>
    </row>
    <row r="6" spans="1:42" x14ac:dyDescent="0.25">
      <c r="A6" s="8"/>
      <c r="B6" s="9">
        <f>AVERAGE(B5:J5)</f>
        <v>70.317777777777764</v>
      </c>
      <c r="K6">
        <f>AVERAGE(K5:S5)</f>
        <v>70.88666666666667</v>
      </c>
      <c r="V6">
        <f>AVERAGE(U5:AC5)</f>
        <v>70.646666666666661</v>
      </c>
      <c r="AE6">
        <f>AVERAGE(AD5:AL5)</f>
        <v>68.971111111111114</v>
      </c>
    </row>
    <row r="7" spans="1:42" x14ac:dyDescent="0.25">
      <c r="A7" s="9"/>
      <c r="B7" s="9"/>
    </row>
    <row r="8" spans="1:42" x14ac:dyDescent="0.25"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42" x14ac:dyDescent="0.25">
      <c r="B9">
        <v>20</v>
      </c>
      <c r="C9">
        <v>25</v>
      </c>
      <c r="D9">
        <v>30</v>
      </c>
      <c r="E9">
        <v>35</v>
      </c>
    </row>
    <row r="10" spans="1:42" x14ac:dyDescent="0.25">
      <c r="B10" s="3">
        <v>71.819999999999993</v>
      </c>
      <c r="C10" s="3">
        <v>71.56</v>
      </c>
      <c r="D10" s="3">
        <v>69.77</v>
      </c>
      <c r="E10" s="3">
        <v>68.650000000000006</v>
      </c>
      <c r="G10" s="3">
        <v>20</v>
      </c>
      <c r="O10">
        <v>30</v>
      </c>
    </row>
    <row r="11" spans="1:42" x14ac:dyDescent="0.25">
      <c r="B11" s="1">
        <v>72.11</v>
      </c>
      <c r="C11" s="3">
        <v>71.59</v>
      </c>
      <c r="D11" s="3">
        <v>69.900000000000006</v>
      </c>
      <c r="E11" s="3">
        <v>68.66</v>
      </c>
    </row>
    <row r="12" spans="1:42" x14ac:dyDescent="0.25">
      <c r="B12" s="3">
        <v>72.13</v>
      </c>
      <c r="C12" s="1">
        <v>71.599999999999994</v>
      </c>
      <c r="D12" s="1">
        <v>69.98</v>
      </c>
      <c r="E12" s="3">
        <v>68.91</v>
      </c>
    </row>
    <row r="13" spans="1:42" x14ac:dyDescent="0.25">
      <c r="B13" s="3">
        <v>72.14</v>
      </c>
      <c r="C13" s="1">
        <v>71.599999999999994</v>
      </c>
      <c r="D13" s="3">
        <v>69.989999999999995</v>
      </c>
      <c r="E13" s="3">
        <v>68.97</v>
      </c>
    </row>
    <row r="14" spans="1:42" x14ac:dyDescent="0.25">
      <c r="B14" s="4">
        <v>72.150000000000006</v>
      </c>
      <c r="C14" s="4">
        <v>71.64</v>
      </c>
      <c r="D14" s="3">
        <v>70.06</v>
      </c>
      <c r="E14" s="3">
        <v>68.989999999999995</v>
      </c>
    </row>
    <row r="15" spans="1:42" x14ac:dyDescent="0.25">
      <c r="B15" s="3">
        <v>72.209999999999994</v>
      </c>
      <c r="C15" s="3">
        <v>71.650000000000006</v>
      </c>
      <c r="D15" s="3">
        <v>70.17</v>
      </c>
      <c r="E15" s="3">
        <v>69.06</v>
      </c>
    </row>
    <row r="16" spans="1:42" x14ac:dyDescent="0.25">
      <c r="B16" s="4">
        <v>72.22</v>
      </c>
      <c r="C16" s="3">
        <v>71.69</v>
      </c>
      <c r="D16" s="3">
        <v>70.180000000000007</v>
      </c>
      <c r="E16" s="3">
        <v>69.14</v>
      </c>
    </row>
    <row r="17" spans="2:15" x14ac:dyDescent="0.25">
      <c r="B17" s="4">
        <v>72.239999999999995</v>
      </c>
      <c r="C17" s="2">
        <v>71.739999999999995</v>
      </c>
      <c r="D17" s="3">
        <v>70.2</v>
      </c>
      <c r="E17" s="3">
        <v>69.16</v>
      </c>
    </row>
    <row r="18" spans="2:15" x14ac:dyDescent="0.25">
      <c r="B18" s="4">
        <v>72.239999999999995</v>
      </c>
      <c r="C18" s="3">
        <v>71.75</v>
      </c>
      <c r="D18" s="3">
        <v>70.209999999999994</v>
      </c>
      <c r="E18" s="3">
        <v>69.2</v>
      </c>
    </row>
    <row r="19" spans="2:15" x14ac:dyDescent="0.25">
      <c r="B19" s="3">
        <v>72.25</v>
      </c>
      <c r="C19" s="1">
        <v>71.760000000000005</v>
      </c>
      <c r="D19" s="3">
        <v>70.28</v>
      </c>
      <c r="E19" s="1">
        <v>70.2</v>
      </c>
    </row>
    <row r="20" spans="2:15" x14ac:dyDescent="0.25">
      <c r="B20" s="1">
        <v>72.260000000000005</v>
      </c>
      <c r="C20" s="4">
        <v>71.78</v>
      </c>
      <c r="D20" s="1">
        <v>70.47</v>
      </c>
      <c r="E20" s="1">
        <v>70.25</v>
      </c>
    </row>
    <row r="21" spans="2:15" x14ac:dyDescent="0.25">
      <c r="B21" s="3">
        <v>72.260000000000005</v>
      </c>
      <c r="C21" s="1">
        <v>71.8</v>
      </c>
      <c r="D21" s="1">
        <v>70.83</v>
      </c>
      <c r="E21" s="2">
        <v>70.260000000000005</v>
      </c>
    </row>
    <row r="22" spans="2:15" x14ac:dyDescent="0.25">
      <c r="B22" s="4">
        <v>72.290000000000006</v>
      </c>
      <c r="C22" s="3">
        <v>71.8</v>
      </c>
      <c r="D22" s="1">
        <v>70.89</v>
      </c>
      <c r="E22" s="1">
        <v>70.27</v>
      </c>
    </row>
    <row r="23" spans="2:15" x14ac:dyDescent="0.25">
      <c r="B23" s="4">
        <v>72.3</v>
      </c>
      <c r="C23" s="1">
        <v>71.83</v>
      </c>
      <c r="D23" s="1">
        <v>70.91</v>
      </c>
      <c r="E23" s="1">
        <v>70.27</v>
      </c>
    </row>
    <row r="24" spans="2:15" x14ac:dyDescent="0.25">
      <c r="B24" s="4">
        <v>72.349999999999994</v>
      </c>
      <c r="C24" s="1">
        <v>71.83</v>
      </c>
      <c r="D24" s="1">
        <v>70.94</v>
      </c>
      <c r="E24" s="1">
        <v>70.31</v>
      </c>
      <c r="G24" s="1">
        <v>25</v>
      </c>
      <c r="O24">
        <v>35</v>
      </c>
    </row>
    <row r="25" spans="2:15" x14ac:dyDescent="0.25">
      <c r="B25" s="3">
        <v>72.38</v>
      </c>
      <c r="C25" s="3">
        <v>71.88</v>
      </c>
      <c r="D25" s="1">
        <v>70.959999999999994</v>
      </c>
      <c r="E25" s="1">
        <v>70.31</v>
      </c>
    </row>
    <row r="26" spans="2:15" x14ac:dyDescent="0.25">
      <c r="B26" s="4">
        <v>72.39</v>
      </c>
      <c r="C26" s="3">
        <v>71.88</v>
      </c>
      <c r="D26" s="4">
        <v>71.03</v>
      </c>
      <c r="E26" s="1">
        <v>70.33</v>
      </c>
    </row>
    <row r="27" spans="2:15" x14ac:dyDescent="0.25">
      <c r="B27" s="4">
        <v>72.39</v>
      </c>
      <c r="C27" s="4">
        <v>71.89</v>
      </c>
      <c r="D27" s="4">
        <v>71.03</v>
      </c>
      <c r="E27" s="1">
        <v>70.34</v>
      </c>
    </row>
    <row r="28" spans="2:15" x14ac:dyDescent="0.25">
      <c r="B28" s="1">
        <v>72.41</v>
      </c>
      <c r="C28" s="4">
        <v>71.92</v>
      </c>
      <c r="D28" s="2">
        <v>71.12</v>
      </c>
      <c r="E28" s="2">
        <v>70.510000000000005</v>
      </c>
    </row>
    <row r="29" spans="2:15" x14ac:dyDescent="0.25">
      <c r="B29" s="1">
        <v>72.459999999999994</v>
      </c>
      <c r="C29" s="1">
        <v>71.930000000000007</v>
      </c>
      <c r="D29" s="2">
        <v>71.25</v>
      </c>
      <c r="E29" s="4">
        <v>70.56</v>
      </c>
    </row>
    <row r="30" spans="2:15" x14ac:dyDescent="0.25">
      <c r="B30" s="3">
        <v>72.53</v>
      </c>
      <c r="C30" s="4">
        <v>71.930000000000007</v>
      </c>
      <c r="D30" s="4">
        <v>71.27</v>
      </c>
      <c r="E30" s="2">
        <v>70.56</v>
      </c>
    </row>
    <row r="31" spans="2:15" x14ac:dyDescent="0.25">
      <c r="B31" s="2">
        <v>72.56</v>
      </c>
      <c r="C31" s="2">
        <v>71.94</v>
      </c>
      <c r="D31" s="4">
        <v>71.28</v>
      </c>
      <c r="E31" s="1">
        <v>70.58</v>
      </c>
    </row>
    <row r="32" spans="2:15" x14ac:dyDescent="0.25">
      <c r="B32" s="2">
        <v>72.569999999999993</v>
      </c>
      <c r="C32" s="4">
        <v>71.95</v>
      </c>
      <c r="D32" s="4">
        <v>71.31</v>
      </c>
      <c r="E32" s="2">
        <v>70.64</v>
      </c>
    </row>
    <row r="33" spans="2:5" x14ac:dyDescent="0.25">
      <c r="B33" s="4">
        <v>72.58</v>
      </c>
      <c r="C33" s="4">
        <v>71.989999999999995</v>
      </c>
      <c r="D33" s="1">
        <v>71.34</v>
      </c>
      <c r="E33" s="2">
        <v>70.66</v>
      </c>
    </row>
    <row r="34" spans="2:5" x14ac:dyDescent="0.25">
      <c r="B34" s="2">
        <v>72.61</v>
      </c>
      <c r="C34" s="3">
        <v>71.989999999999995</v>
      </c>
      <c r="D34" s="2">
        <v>71.349999999999994</v>
      </c>
      <c r="E34" s="2">
        <v>70.69</v>
      </c>
    </row>
    <row r="35" spans="2:5" x14ac:dyDescent="0.25">
      <c r="B35" s="1">
        <v>72.62</v>
      </c>
      <c r="C35" s="3">
        <v>72</v>
      </c>
      <c r="D35" s="2">
        <v>71.400000000000006</v>
      </c>
      <c r="E35" s="4">
        <v>70.709999999999994</v>
      </c>
    </row>
    <row r="36" spans="2:5" x14ac:dyDescent="0.25">
      <c r="B36" s="4">
        <v>72.62</v>
      </c>
      <c r="C36" s="1">
        <v>72.03</v>
      </c>
      <c r="D36" s="2">
        <v>71.400000000000006</v>
      </c>
      <c r="E36" s="4">
        <v>70.77</v>
      </c>
    </row>
    <row r="37" spans="2:5" x14ac:dyDescent="0.25">
      <c r="B37" s="2">
        <v>72.650000000000006</v>
      </c>
      <c r="C37" s="2">
        <v>72.069999999999993</v>
      </c>
      <c r="D37" s="4">
        <v>71.430000000000007</v>
      </c>
      <c r="E37" s="2">
        <v>70.77</v>
      </c>
    </row>
    <row r="38" spans="2:5" x14ac:dyDescent="0.25">
      <c r="B38" s="2">
        <v>72.72</v>
      </c>
      <c r="C38" s="4">
        <v>72.11</v>
      </c>
      <c r="D38" s="4">
        <v>71.44</v>
      </c>
      <c r="E38" s="4">
        <v>70.790000000000006</v>
      </c>
    </row>
    <row r="39" spans="2:5" x14ac:dyDescent="0.25">
      <c r="B39" s="4">
        <v>72.739999999999995</v>
      </c>
      <c r="C39" s="1">
        <v>72.13</v>
      </c>
      <c r="D39" s="4">
        <v>71.510000000000005</v>
      </c>
      <c r="E39" s="2">
        <v>70.84</v>
      </c>
    </row>
    <row r="40" spans="2:5" x14ac:dyDescent="0.25">
      <c r="B40" s="2">
        <v>72.78</v>
      </c>
      <c r="C40" s="4">
        <v>72.22</v>
      </c>
      <c r="D40" s="2">
        <v>71.510000000000005</v>
      </c>
      <c r="E40" s="4">
        <v>70.87</v>
      </c>
    </row>
    <row r="41" spans="2:5" x14ac:dyDescent="0.25">
      <c r="B41" s="4">
        <v>72.790000000000006</v>
      </c>
      <c r="C41" s="2">
        <v>72.239999999999995</v>
      </c>
      <c r="D41" s="4">
        <v>71.52</v>
      </c>
      <c r="E41" s="2">
        <v>70.89</v>
      </c>
    </row>
    <row r="42" spans="2:5" x14ac:dyDescent="0.25">
      <c r="B42" s="1">
        <v>72.81</v>
      </c>
      <c r="C42" s="2">
        <v>72.33</v>
      </c>
      <c r="D42" s="2">
        <v>71.55</v>
      </c>
      <c r="E42" s="4">
        <v>70.94</v>
      </c>
    </row>
    <row r="43" spans="2:5" x14ac:dyDescent="0.25">
      <c r="B43" s="2">
        <v>72.84</v>
      </c>
      <c r="C43" s="2">
        <v>72.39</v>
      </c>
      <c r="D43" s="2">
        <v>71.599999999999994</v>
      </c>
      <c r="E43" s="4">
        <v>70.97</v>
      </c>
    </row>
    <row r="44" spans="2:5" x14ac:dyDescent="0.25">
      <c r="B44" s="2">
        <v>72.900000000000006</v>
      </c>
      <c r="C44" s="2">
        <v>72.42</v>
      </c>
      <c r="D44" s="2">
        <v>71.7</v>
      </c>
      <c r="E44" s="4">
        <v>71.13</v>
      </c>
    </row>
    <row r="45" spans="2:5" x14ac:dyDescent="0.25">
      <c r="B45" s="1">
        <v>72.94</v>
      </c>
      <c r="C45" s="2">
        <v>72.44</v>
      </c>
      <c r="D45" s="1">
        <v>71.959999999999994</v>
      </c>
      <c r="E45" s="4">
        <v>71.239999999999995</v>
      </c>
    </row>
    <row r="46" spans="2:5" x14ac:dyDescent="0.25">
      <c r="B46" s="2">
        <v>72.959999999999994</v>
      </c>
      <c r="C46" s="2">
        <v>72.510000000000005</v>
      </c>
    </row>
    <row r="47" spans="2:5" x14ac:dyDescent="0.25">
      <c r="B47" s="1">
        <v>72.97</v>
      </c>
    </row>
    <row r="48" spans="2:5" x14ac:dyDescent="0.25">
      <c r="B48" s="3">
        <v>72.97</v>
      </c>
    </row>
    <row r="49" spans="2:5" x14ac:dyDescent="0.25">
      <c r="B49" s="3">
        <v>73.05</v>
      </c>
    </row>
    <row r="50" spans="2:5" x14ac:dyDescent="0.25">
      <c r="B50" s="1">
        <v>73.16</v>
      </c>
    </row>
    <row r="52" spans="2:5" x14ac:dyDescent="0.25">
      <c r="B52">
        <f>VAR(B10:B50)</f>
        <v>9.7995975609756383E-2</v>
      </c>
      <c r="C52">
        <f>VAR(C10:C46)</f>
        <v>6.5818768768768771E-2</v>
      </c>
      <c r="D52">
        <f>VAR(D10:D45)</f>
        <v>0.37518634920634897</v>
      </c>
      <c r="E52">
        <f>VAR(E10:E45)</f>
        <v>0.59485968253968247</v>
      </c>
    </row>
  </sheetData>
  <sortState xmlns:xlrd2="http://schemas.microsoft.com/office/spreadsheetml/2017/richdata2" ref="E10:E47">
    <sortCondition ref="E10"/>
  </sortState>
  <mergeCells count="2">
    <mergeCell ref="B1:K1"/>
    <mergeCell ref="B8:K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3"/>
  <sheetViews>
    <sheetView topLeftCell="A40" zoomScaleNormal="150" zoomScaleSheetLayoutView="100" workbookViewId="0">
      <selection activeCell="D60" sqref="D60"/>
    </sheetView>
  </sheetViews>
  <sheetFormatPr baseColWidth="10" defaultColWidth="9.140625" defaultRowHeight="15" x14ac:dyDescent="0.25"/>
  <sheetData>
    <row r="1" spans="1:52" x14ac:dyDescent="0.25">
      <c r="A1" s="1" t="s">
        <v>2</v>
      </c>
      <c r="B1" s="16" t="s">
        <v>3</v>
      </c>
      <c r="C1" s="16"/>
      <c r="D1" s="16"/>
      <c r="E1" s="16"/>
      <c r="F1" s="16"/>
      <c r="G1" s="16"/>
      <c r="H1" s="16"/>
      <c r="I1" s="16"/>
      <c r="J1" s="16"/>
    </row>
    <row r="2" spans="1:52" x14ac:dyDescent="0.25">
      <c r="A2" s="1">
        <v>20</v>
      </c>
      <c r="B2" s="1">
        <v>72.69</v>
      </c>
      <c r="C2" s="1">
        <v>73.319999999999993</v>
      </c>
      <c r="D2" s="1">
        <v>72.989999999999995</v>
      </c>
      <c r="E2" s="1">
        <v>73.27</v>
      </c>
      <c r="F2" s="1">
        <v>73.31</v>
      </c>
      <c r="G2" s="1">
        <v>72.17</v>
      </c>
      <c r="H2" s="1">
        <v>72.36</v>
      </c>
      <c r="I2" s="1">
        <v>73.459999999999994</v>
      </c>
      <c r="J2" s="1">
        <v>73.36</v>
      </c>
      <c r="K2" s="4">
        <v>71.34</v>
      </c>
      <c r="L2" s="4">
        <v>71.260000000000005</v>
      </c>
      <c r="M2" s="4">
        <v>71.56</v>
      </c>
      <c r="N2" s="4">
        <v>72.849999999999994</v>
      </c>
      <c r="O2" s="4">
        <v>72.88</v>
      </c>
      <c r="P2" s="4">
        <v>72.61</v>
      </c>
      <c r="Q2" s="4">
        <v>72.52</v>
      </c>
      <c r="R2" s="4">
        <v>73.290000000000006</v>
      </c>
      <c r="S2" s="4">
        <v>73.27</v>
      </c>
      <c r="T2" s="4">
        <v>73.37</v>
      </c>
      <c r="U2" s="4">
        <v>73.400000000000006</v>
      </c>
      <c r="V2" s="4">
        <v>73.349999999999994</v>
      </c>
      <c r="W2" s="4">
        <v>72.13</v>
      </c>
      <c r="X2" s="4">
        <v>73.28</v>
      </c>
      <c r="Y2" s="4">
        <v>73.34</v>
      </c>
      <c r="Z2" s="4">
        <v>72.86</v>
      </c>
      <c r="AA2" s="4">
        <v>72.75</v>
      </c>
      <c r="AB2" s="4">
        <v>72.900000000000006</v>
      </c>
      <c r="AC2" s="4">
        <v>72.790000000000006</v>
      </c>
      <c r="AD2" s="4">
        <v>73.25</v>
      </c>
      <c r="AE2" s="4">
        <v>73.290000000000006</v>
      </c>
      <c r="AF2" s="4">
        <v>73.16</v>
      </c>
      <c r="AG2" s="4">
        <v>73.13</v>
      </c>
      <c r="AH2" s="2">
        <v>71.489999999999995</v>
      </c>
      <c r="AI2" s="2">
        <v>71.8</v>
      </c>
      <c r="AJ2" s="2">
        <v>71.680000000000007</v>
      </c>
      <c r="AK2" s="2">
        <v>71.849999999999994</v>
      </c>
      <c r="AL2" s="2">
        <v>71.930000000000007</v>
      </c>
      <c r="AM2" s="2">
        <v>71.75</v>
      </c>
      <c r="AN2" s="2">
        <v>71.459999999999994</v>
      </c>
      <c r="AO2" s="2">
        <v>71.72</v>
      </c>
      <c r="AP2" s="2">
        <v>71.92</v>
      </c>
      <c r="AQ2" s="3">
        <v>73.430000000000007</v>
      </c>
      <c r="AR2" s="3">
        <v>73.12</v>
      </c>
      <c r="AS2" s="3">
        <v>73.209999999999994</v>
      </c>
      <c r="AT2" s="3">
        <v>73.290000000000006</v>
      </c>
      <c r="AU2" s="3">
        <v>73.260000000000005</v>
      </c>
      <c r="AV2" s="3">
        <v>73.02</v>
      </c>
      <c r="AW2" s="3">
        <v>72.790000000000006</v>
      </c>
      <c r="AX2" s="3">
        <v>72.849999999999994</v>
      </c>
      <c r="AY2" s="3">
        <v>73.12</v>
      </c>
      <c r="AZ2" s="3">
        <v>72.72</v>
      </c>
    </row>
    <row r="3" spans="1:52" x14ac:dyDescent="0.25">
      <c r="A3" s="1">
        <v>25</v>
      </c>
      <c r="B3" s="1">
        <v>72.39</v>
      </c>
      <c r="C3" s="1">
        <v>72.430000000000007</v>
      </c>
      <c r="D3" s="1">
        <v>72.5</v>
      </c>
      <c r="E3" s="1">
        <v>72.319999999999993</v>
      </c>
      <c r="F3" s="1">
        <v>72.56</v>
      </c>
      <c r="G3" s="1">
        <v>72.42</v>
      </c>
      <c r="H3" s="1">
        <v>72.77</v>
      </c>
      <c r="I3" s="1">
        <v>72.34</v>
      </c>
      <c r="J3" s="1">
        <v>72.53</v>
      </c>
      <c r="K3" s="4">
        <v>72.13</v>
      </c>
      <c r="L3" s="4">
        <v>72.13</v>
      </c>
      <c r="M3" s="4">
        <v>71.84</v>
      </c>
      <c r="N3" s="4">
        <v>72.239999999999995</v>
      </c>
      <c r="O3" s="4">
        <v>72.25</v>
      </c>
      <c r="P3" s="4">
        <v>72.180000000000007</v>
      </c>
      <c r="Q3" s="4">
        <v>71.959999999999994</v>
      </c>
      <c r="R3" s="4">
        <v>72</v>
      </c>
      <c r="S3" s="4">
        <v>72.37</v>
      </c>
      <c r="T3" s="2">
        <v>71.739999999999995</v>
      </c>
      <c r="U3" s="2">
        <v>71.94</v>
      </c>
      <c r="V3" s="2">
        <v>71.459999999999994</v>
      </c>
      <c r="W3" s="2">
        <v>71.680000000000007</v>
      </c>
      <c r="X3" s="2">
        <v>71.53</v>
      </c>
      <c r="Y3" s="2">
        <v>71.510000000000005</v>
      </c>
      <c r="Z3" s="2">
        <v>71.31</v>
      </c>
      <c r="AA3" s="2">
        <v>71.67</v>
      </c>
      <c r="AB3" s="2">
        <v>71.58</v>
      </c>
      <c r="AC3" s="3">
        <v>71.64</v>
      </c>
      <c r="AD3" s="3">
        <v>72.069999999999993</v>
      </c>
      <c r="AE3" s="3">
        <v>72.31</v>
      </c>
      <c r="AF3" s="3">
        <v>72.45</v>
      </c>
      <c r="AG3" s="3">
        <v>72.489999999999995</v>
      </c>
      <c r="AH3" s="3">
        <v>72.290000000000006</v>
      </c>
      <c r="AI3" s="3">
        <v>72.59</v>
      </c>
      <c r="AJ3" s="3">
        <v>72.650000000000006</v>
      </c>
      <c r="AK3" s="3">
        <v>72.91</v>
      </c>
      <c r="AL3" s="3">
        <v>72.59</v>
      </c>
    </row>
    <row r="4" spans="1:52" x14ac:dyDescent="0.25">
      <c r="A4" s="1">
        <v>30</v>
      </c>
      <c r="B4" s="1">
        <v>71.930000000000007</v>
      </c>
      <c r="C4" s="1">
        <v>71.95</v>
      </c>
      <c r="D4" s="1">
        <v>72.17</v>
      </c>
      <c r="E4" s="1">
        <v>72.3</v>
      </c>
      <c r="F4" s="1">
        <v>71.959999999999994</v>
      </c>
      <c r="G4" s="1">
        <v>71.8</v>
      </c>
      <c r="H4" s="1">
        <v>71.81</v>
      </c>
      <c r="I4" s="1">
        <v>71.86</v>
      </c>
      <c r="J4" s="1">
        <v>71.900000000000006</v>
      </c>
      <c r="K4" s="4">
        <v>71.63</v>
      </c>
      <c r="L4" s="4">
        <v>71.849999999999994</v>
      </c>
      <c r="M4" s="4">
        <v>71.790000000000006</v>
      </c>
      <c r="N4" s="4">
        <v>71.42</v>
      </c>
      <c r="O4" s="4">
        <v>71.739999999999995</v>
      </c>
      <c r="P4" s="4">
        <v>72.06</v>
      </c>
      <c r="Q4" s="4">
        <v>72.069999999999993</v>
      </c>
      <c r="R4" s="4">
        <v>71.73</v>
      </c>
      <c r="S4" s="4">
        <v>71.78</v>
      </c>
      <c r="T4" s="4">
        <v>71.89</v>
      </c>
      <c r="U4" s="2">
        <v>70.849999999999994</v>
      </c>
      <c r="V4" s="2">
        <v>70.95</v>
      </c>
      <c r="W4" s="2">
        <v>71.260000000000005</v>
      </c>
      <c r="X4" s="2">
        <v>70.58</v>
      </c>
      <c r="Y4" s="2">
        <v>70.45</v>
      </c>
      <c r="Z4" s="2">
        <v>70.7</v>
      </c>
      <c r="AA4" s="2">
        <v>70.59</v>
      </c>
      <c r="AB4" s="2">
        <v>70.83</v>
      </c>
      <c r="AC4" s="2">
        <v>70.98</v>
      </c>
      <c r="AD4" s="3">
        <v>71.900000000000006</v>
      </c>
      <c r="AE4" s="3">
        <v>71.95</v>
      </c>
      <c r="AF4" s="3">
        <v>72.27</v>
      </c>
      <c r="AG4" s="3">
        <v>72.31</v>
      </c>
      <c r="AH4" s="3">
        <v>72.22</v>
      </c>
      <c r="AI4" s="3">
        <v>71.98</v>
      </c>
      <c r="AJ4" s="3">
        <v>72.400000000000006</v>
      </c>
      <c r="AK4" s="3">
        <v>72.25</v>
      </c>
      <c r="AL4" s="3">
        <v>72.319999999999993</v>
      </c>
    </row>
    <row r="5" spans="1:52" x14ac:dyDescent="0.25">
      <c r="A5" s="1">
        <v>35</v>
      </c>
      <c r="B5" s="1">
        <v>70.98</v>
      </c>
      <c r="C5" s="1">
        <v>71.09</v>
      </c>
      <c r="D5" s="1">
        <v>70.959999999999994</v>
      </c>
      <c r="E5" s="1">
        <v>70.69</v>
      </c>
      <c r="F5" s="1">
        <v>70.66</v>
      </c>
      <c r="G5" s="1">
        <v>70.75</v>
      </c>
      <c r="H5" s="1">
        <v>70.98</v>
      </c>
      <c r="I5" s="1">
        <v>70.64</v>
      </c>
      <c r="J5" s="1">
        <v>70.75</v>
      </c>
      <c r="K5" s="4">
        <v>70.34</v>
      </c>
      <c r="L5" s="4">
        <v>70.62</v>
      </c>
      <c r="M5" s="4">
        <v>70.709999999999994</v>
      </c>
      <c r="N5" s="4">
        <v>68.66</v>
      </c>
      <c r="O5" s="4">
        <v>70.650000000000006</v>
      </c>
      <c r="P5" s="4">
        <v>70.680000000000007</v>
      </c>
      <c r="Q5" s="4">
        <v>70.58</v>
      </c>
      <c r="R5" s="4">
        <v>71.08</v>
      </c>
      <c r="S5" s="4">
        <v>70.66</v>
      </c>
      <c r="T5">
        <v>70.72</v>
      </c>
      <c r="U5">
        <v>70.989999999999995</v>
      </c>
      <c r="V5" s="4">
        <v>70.790000000000006</v>
      </c>
      <c r="W5" s="2">
        <v>70.41</v>
      </c>
      <c r="X5" s="2">
        <v>70.38</v>
      </c>
      <c r="Y5" s="2">
        <v>70.55</v>
      </c>
      <c r="Z5" s="2">
        <v>70.59</v>
      </c>
      <c r="AA5" s="2">
        <v>70.52</v>
      </c>
      <c r="AB5" s="2">
        <v>69.760000000000005</v>
      </c>
      <c r="AC5" s="2">
        <v>69.88</v>
      </c>
      <c r="AD5" s="2">
        <v>69.739999999999995</v>
      </c>
      <c r="AE5" s="2">
        <v>70.16</v>
      </c>
      <c r="AF5" s="3">
        <v>71.16</v>
      </c>
      <c r="AG5" s="3">
        <v>67.14</v>
      </c>
      <c r="AH5" s="3">
        <v>71.44</v>
      </c>
      <c r="AI5" s="3">
        <v>71.010000000000005</v>
      </c>
      <c r="AJ5" s="3">
        <v>70.66</v>
      </c>
      <c r="AK5" s="3">
        <v>70.88</v>
      </c>
      <c r="AL5" s="3">
        <v>71.010000000000005</v>
      </c>
      <c r="AM5" s="3">
        <v>71.16</v>
      </c>
      <c r="AN5" s="3">
        <v>70.459999999999994</v>
      </c>
    </row>
    <row r="8" spans="1:52" x14ac:dyDescent="0.25">
      <c r="A8" s="4">
        <v>71.260000000000005</v>
      </c>
      <c r="B8" s="2">
        <v>71.31</v>
      </c>
      <c r="C8" s="2">
        <v>70.45</v>
      </c>
      <c r="D8" s="11">
        <v>67.14</v>
      </c>
      <c r="F8" s="1">
        <v>20</v>
      </c>
      <c r="N8" s="4">
        <v>30</v>
      </c>
    </row>
    <row r="9" spans="1:52" x14ac:dyDescent="0.25">
      <c r="A9" s="4">
        <v>71.34</v>
      </c>
      <c r="B9" s="2">
        <v>71.459999999999994</v>
      </c>
      <c r="C9" s="2">
        <v>70.58</v>
      </c>
      <c r="D9" s="11">
        <v>68.66</v>
      </c>
    </row>
    <row r="10" spans="1:52" x14ac:dyDescent="0.25">
      <c r="A10" s="2">
        <v>71.459999999999994</v>
      </c>
      <c r="B10" s="2">
        <v>71.510000000000005</v>
      </c>
      <c r="C10" s="2">
        <v>70.59</v>
      </c>
      <c r="D10" s="2">
        <v>69.739999999999995</v>
      </c>
    </row>
    <row r="11" spans="1:52" x14ac:dyDescent="0.25">
      <c r="A11" s="2">
        <v>71.489999999999995</v>
      </c>
      <c r="B11" s="2">
        <v>71.53</v>
      </c>
      <c r="C11" s="2">
        <v>70.7</v>
      </c>
      <c r="D11" s="2">
        <v>69.760000000000005</v>
      </c>
    </row>
    <row r="12" spans="1:52" x14ac:dyDescent="0.25">
      <c r="A12" s="4">
        <v>71.56</v>
      </c>
      <c r="B12" s="2">
        <v>71.58</v>
      </c>
      <c r="C12" s="2">
        <v>70.83</v>
      </c>
      <c r="D12" s="2">
        <v>69.88</v>
      </c>
    </row>
    <row r="13" spans="1:52" x14ac:dyDescent="0.25">
      <c r="A13" s="2">
        <v>71.680000000000007</v>
      </c>
      <c r="B13" s="3">
        <v>71.64</v>
      </c>
      <c r="C13" s="2">
        <v>70.849999999999994</v>
      </c>
      <c r="D13" s="2">
        <v>70.16</v>
      </c>
    </row>
    <row r="14" spans="1:52" x14ac:dyDescent="0.25">
      <c r="A14" s="2">
        <v>71.72</v>
      </c>
      <c r="B14" s="2">
        <v>71.67</v>
      </c>
      <c r="C14" s="2">
        <v>70.95</v>
      </c>
      <c r="D14" s="4">
        <v>70.34</v>
      </c>
    </row>
    <row r="15" spans="1:52" x14ac:dyDescent="0.25">
      <c r="A15" s="2">
        <v>71.75</v>
      </c>
      <c r="B15" s="2">
        <v>71.680000000000007</v>
      </c>
      <c r="C15" s="2">
        <v>70.98</v>
      </c>
      <c r="D15" s="2">
        <v>70.38</v>
      </c>
    </row>
    <row r="16" spans="1:52" x14ac:dyDescent="0.25">
      <c r="A16" s="2">
        <v>71.8</v>
      </c>
      <c r="B16" s="2">
        <v>71.739999999999995</v>
      </c>
      <c r="C16" s="2">
        <v>71.260000000000005</v>
      </c>
      <c r="D16" s="2">
        <v>70.41</v>
      </c>
    </row>
    <row r="17" spans="1:14" x14ac:dyDescent="0.25">
      <c r="A17" s="2">
        <v>71.849999999999994</v>
      </c>
      <c r="B17" s="4">
        <v>71.84</v>
      </c>
      <c r="C17" s="4">
        <v>71.42</v>
      </c>
      <c r="D17" s="3">
        <v>70.459999999999994</v>
      </c>
    </row>
    <row r="18" spans="1:14" x14ac:dyDescent="0.25">
      <c r="A18" s="2">
        <v>71.92</v>
      </c>
      <c r="B18" s="2">
        <v>71.94</v>
      </c>
      <c r="C18" s="4">
        <v>71.63</v>
      </c>
      <c r="D18" s="2">
        <v>70.52</v>
      </c>
    </row>
    <row r="19" spans="1:14" x14ac:dyDescent="0.25">
      <c r="A19" s="2">
        <v>71.930000000000007</v>
      </c>
      <c r="B19" s="4">
        <v>71.959999999999994</v>
      </c>
      <c r="C19" s="4">
        <v>71.73</v>
      </c>
      <c r="D19" s="2">
        <v>70.55</v>
      </c>
    </row>
    <row r="20" spans="1:14" x14ac:dyDescent="0.25">
      <c r="A20" s="4">
        <v>72.13</v>
      </c>
      <c r="B20" s="4">
        <v>72</v>
      </c>
      <c r="C20" s="4">
        <v>71.739999999999995</v>
      </c>
      <c r="D20" s="4">
        <v>70.58</v>
      </c>
      <c r="F20" s="4">
        <v>25</v>
      </c>
    </row>
    <row r="21" spans="1:14" x14ac:dyDescent="0.25">
      <c r="A21" s="1">
        <v>72.17</v>
      </c>
      <c r="B21" s="3">
        <v>72.069999999999993</v>
      </c>
      <c r="C21" s="4">
        <v>71.78</v>
      </c>
      <c r="D21" s="2">
        <v>70.59</v>
      </c>
      <c r="N21">
        <v>35</v>
      </c>
    </row>
    <row r="22" spans="1:14" x14ac:dyDescent="0.25">
      <c r="A22" s="1">
        <v>72.36</v>
      </c>
      <c r="B22" s="4">
        <v>72.13</v>
      </c>
      <c r="C22" s="4">
        <v>71.790000000000006</v>
      </c>
      <c r="D22" s="4">
        <v>70.62</v>
      </c>
    </row>
    <row r="23" spans="1:14" x14ac:dyDescent="0.25">
      <c r="A23" s="4">
        <v>72.52</v>
      </c>
      <c r="B23" s="4">
        <v>72.13</v>
      </c>
      <c r="C23" s="1">
        <v>71.8</v>
      </c>
      <c r="D23" s="1">
        <v>70.64</v>
      </c>
      <c r="E23" s="10"/>
      <c r="F23" s="10"/>
      <c r="G23" s="10"/>
      <c r="H23" s="10"/>
      <c r="I23" s="10"/>
      <c r="J23" s="10"/>
      <c r="K23" s="10"/>
    </row>
    <row r="24" spans="1:14" x14ac:dyDescent="0.25">
      <c r="A24" s="4">
        <v>72.61</v>
      </c>
      <c r="B24" s="4">
        <v>72.180000000000007</v>
      </c>
      <c r="C24" s="1">
        <v>71.81</v>
      </c>
      <c r="D24" s="4">
        <v>70.650000000000006</v>
      </c>
    </row>
    <row r="25" spans="1:14" x14ac:dyDescent="0.25">
      <c r="A25" s="1">
        <v>72.69</v>
      </c>
      <c r="B25" s="4">
        <v>72.239999999999995</v>
      </c>
      <c r="C25" s="4">
        <v>71.849999999999994</v>
      </c>
      <c r="D25" s="1">
        <v>70.66</v>
      </c>
    </row>
    <row r="26" spans="1:14" x14ac:dyDescent="0.25">
      <c r="A26" s="3">
        <v>72.72</v>
      </c>
      <c r="B26" s="4">
        <v>72.25</v>
      </c>
      <c r="C26" s="1">
        <v>71.86</v>
      </c>
      <c r="D26" s="4">
        <v>70.66</v>
      </c>
    </row>
    <row r="27" spans="1:14" x14ac:dyDescent="0.25">
      <c r="A27" s="4">
        <v>72.75</v>
      </c>
      <c r="B27" s="3">
        <v>72.290000000000006</v>
      </c>
      <c r="C27" s="4">
        <v>71.89</v>
      </c>
      <c r="D27" s="3">
        <v>70.66</v>
      </c>
    </row>
    <row r="28" spans="1:14" x14ac:dyDescent="0.25">
      <c r="A28" s="4">
        <v>72.790000000000006</v>
      </c>
      <c r="B28" s="3">
        <v>72.31</v>
      </c>
      <c r="C28" s="1">
        <v>71.900000000000006</v>
      </c>
      <c r="D28" s="4">
        <v>70.680000000000007</v>
      </c>
    </row>
    <row r="29" spans="1:14" x14ac:dyDescent="0.25">
      <c r="A29" s="3">
        <v>72.790000000000006</v>
      </c>
      <c r="B29" s="1">
        <v>72.319999999999993</v>
      </c>
      <c r="C29" s="3">
        <v>71.900000000000006</v>
      </c>
      <c r="D29" s="1">
        <v>70.69</v>
      </c>
    </row>
    <row r="30" spans="1:14" x14ac:dyDescent="0.25">
      <c r="A30" s="4">
        <v>72.849999999999994</v>
      </c>
      <c r="B30" s="1">
        <v>72.34</v>
      </c>
      <c r="C30" s="1">
        <v>71.930000000000007</v>
      </c>
      <c r="D30" s="4">
        <v>70.709999999999994</v>
      </c>
    </row>
    <row r="31" spans="1:14" x14ac:dyDescent="0.25">
      <c r="A31" s="3">
        <v>72.849999999999994</v>
      </c>
      <c r="B31" s="4">
        <v>72.37</v>
      </c>
      <c r="C31" s="1">
        <v>71.95</v>
      </c>
      <c r="D31">
        <v>70.72</v>
      </c>
    </row>
    <row r="32" spans="1:14" x14ac:dyDescent="0.25">
      <c r="A32" s="4">
        <v>72.86</v>
      </c>
      <c r="B32" s="1">
        <v>72.39</v>
      </c>
      <c r="C32" s="3">
        <v>71.95</v>
      </c>
      <c r="D32" s="1">
        <v>70.75</v>
      </c>
    </row>
    <row r="33" spans="1:4" x14ac:dyDescent="0.25">
      <c r="A33" s="4">
        <v>72.88</v>
      </c>
      <c r="B33" s="1">
        <v>72.42</v>
      </c>
      <c r="C33" s="1">
        <v>71.959999999999994</v>
      </c>
      <c r="D33" s="1">
        <v>70.75</v>
      </c>
    </row>
    <row r="34" spans="1:4" x14ac:dyDescent="0.25">
      <c r="A34" s="4">
        <v>72.900000000000006</v>
      </c>
      <c r="B34" s="1">
        <v>72.430000000000007</v>
      </c>
      <c r="C34" s="3">
        <v>71.98</v>
      </c>
      <c r="D34" s="4">
        <v>70.790000000000006</v>
      </c>
    </row>
    <row r="35" spans="1:4" x14ac:dyDescent="0.25">
      <c r="A35" s="1">
        <v>72.989999999999995</v>
      </c>
      <c r="B35" s="3">
        <v>72.45</v>
      </c>
      <c r="C35" s="4">
        <v>72.06</v>
      </c>
      <c r="D35" s="3">
        <v>70.88</v>
      </c>
    </row>
    <row r="36" spans="1:4" x14ac:dyDescent="0.25">
      <c r="A36" s="3">
        <v>73.02</v>
      </c>
      <c r="B36" s="3">
        <v>72.489999999999995</v>
      </c>
      <c r="C36" s="4">
        <v>72.069999999999993</v>
      </c>
      <c r="D36" s="1">
        <v>70.959999999999994</v>
      </c>
    </row>
    <row r="37" spans="1:4" x14ac:dyDescent="0.25">
      <c r="A37" s="3">
        <v>73.12</v>
      </c>
      <c r="B37" s="1">
        <v>72.5</v>
      </c>
      <c r="C37" s="1">
        <v>72.17</v>
      </c>
      <c r="D37" s="1">
        <v>70.98</v>
      </c>
    </row>
    <row r="38" spans="1:4" x14ac:dyDescent="0.25">
      <c r="A38" s="3">
        <v>73.12</v>
      </c>
      <c r="B38" s="1">
        <v>72.53</v>
      </c>
      <c r="C38" s="3">
        <v>72.22</v>
      </c>
      <c r="D38" s="1">
        <v>70.98</v>
      </c>
    </row>
    <row r="39" spans="1:4" x14ac:dyDescent="0.25">
      <c r="A39" s="4">
        <v>73.13</v>
      </c>
      <c r="B39" s="1">
        <v>72.56</v>
      </c>
      <c r="C39" s="3">
        <v>72.25</v>
      </c>
      <c r="D39">
        <v>70.989999999999995</v>
      </c>
    </row>
    <row r="40" spans="1:4" x14ac:dyDescent="0.25">
      <c r="A40" s="4">
        <v>73.16</v>
      </c>
      <c r="B40" s="3">
        <v>72.59</v>
      </c>
      <c r="C40" s="3">
        <v>72.27</v>
      </c>
      <c r="D40" s="3">
        <v>71.010000000000005</v>
      </c>
    </row>
    <row r="41" spans="1:4" x14ac:dyDescent="0.25">
      <c r="A41" s="3">
        <v>73.209999999999994</v>
      </c>
      <c r="B41" s="3">
        <v>72.59</v>
      </c>
      <c r="C41" s="1">
        <v>72.3</v>
      </c>
      <c r="D41" s="3">
        <v>71.010000000000005</v>
      </c>
    </row>
    <row r="42" spans="1:4" x14ac:dyDescent="0.25">
      <c r="A42" s="4">
        <v>73.25</v>
      </c>
      <c r="B42" s="3">
        <v>72.650000000000006</v>
      </c>
      <c r="C42" s="3">
        <v>72.31</v>
      </c>
      <c r="D42" s="4">
        <v>71.08</v>
      </c>
    </row>
    <row r="43" spans="1:4" x14ac:dyDescent="0.25">
      <c r="A43" s="3">
        <v>73.260000000000005</v>
      </c>
      <c r="B43" s="1">
        <v>72.77</v>
      </c>
      <c r="C43" s="3">
        <v>72.319999999999993</v>
      </c>
      <c r="D43" s="1">
        <v>71.09</v>
      </c>
    </row>
    <row r="44" spans="1:4" x14ac:dyDescent="0.25">
      <c r="A44" s="1">
        <v>73.27</v>
      </c>
      <c r="B44" s="3">
        <v>72.91</v>
      </c>
      <c r="C44" s="3">
        <v>72.400000000000006</v>
      </c>
      <c r="D44" s="3">
        <v>71.16</v>
      </c>
    </row>
    <row r="45" spans="1:4" x14ac:dyDescent="0.25">
      <c r="A45" s="4">
        <v>73.27</v>
      </c>
      <c r="D45" s="3">
        <v>71.16</v>
      </c>
    </row>
    <row r="46" spans="1:4" x14ac:dyDescent="0.25">
      <c r="A46" s="4">
        <v>73.28</v>
      </c>
      <c r="D46" s="3">
        <v>71.44</v>
      </c>
    </row>
    <row r="47" spans="1:4" x14ac:dyDescent="0.25">
      <c r="A47" s="4">
        <v>73.290000000000006</v>
      </c>
    </row>
    <row r="48" spans="1:4" x14ac:dyDescent="0.25">
      <c r="A48" s="4">
        <v>73.290000000000006</v>
      </c>
    </row>
    <row r="49" spans="1:4" x14ac:dyDescent="0.25">
      <c r="A49" s="3">
        <v>73.290000000000006</v>
      </c>
    </row>
    <row r="50" spans="1:4" x14ac:dyDescent="0.25">
      <c r="A50" s="1">
        <v>73.31</v>
      </c>
    </row>
    <row r="51" spans="1:4" x14ac:dyDescent="0.25">
      <c r="A51" s="1">
        <v>73.319999999999993</v>
      </c>
    </row>
    <row r="52" spans="1:4" x14ac:dyDescent="0.25">
      <c r="A52" s="4">
        <v>73.34</v>
      </c>
    </row>
    <row r="53" spans="1:4" x14ac:dyDescent="0.25">
      <c r="A53" s="4">
        <v>73.349999999999994</v>
      </c>
    </row>
    <row r="54" spans="1:4" x14ac:dyDescent="0.25">
      <c r="A54" s="1">
        <v>73.36</v>
      </c>
    </row>
    <row r="55" spans="1:4" x14ac:dyDescent="0.25">
      <c r="A55" s="4">
        <v>73.37</v>
      </c>
    </row>
    <row r="56" spans="1:4" x14ac:dyDescent="0.25">
      <c r="A56" s="4">
        <v>73.400000000000006</v>
      </c>
    </row>
    <row r="57" spans="1:4" x14ac:dyDescent="0.25">
      <c r="A57" s="3">
        <v>73.430000000000007</v>
      </c>
    </row>
    <row r="58" spans="1:4" x14ac:dyDescent="0.25">
      <c r="A58" s="1">
        <v>73.459999999999994</v>
      </c>
    </row>
    <row r="60" spans="1:4" x14ac:dyDescent="0.25">
      <c r="A60">
        <f>AVERAGE(A8:A58)</f>
        <v>72.704313725490195</v>
      </c>
      <c r="B60">
        <f>AVERAGE(B8:B44)</f>
        <v>72.155945945945959</v>
      </c>
      <c r="C60">
        <f>AVERAGE(C8:C44)</f>
        <v>71.687297297297306</v>
      </c>
      <c r="D60">
        <f>AVERAGE(D10:D46)</f>
        <v>70.67810810810812</v>
      </c>
    </row>
    <row r="61" spans="1:4" x14ac:dyDescent="0.25">
      <c r="A61">
        <f>_xlfn.STDEV.S((A8:A58))</f>
        <v>0.67380785065762128</v>
      </c>
      <c r="B61">
        <f>_xlfn.STDEV.S((B8:B44))</f>
        <v>0.408625470051458</v>
      </c>
      <c r="C61">
        <f>_xlfn.STDEV.S((C8:C44))</f>
        <v>0.56270995414377734</v>
      </c>
      <c r="D61">
        <f>_xlfn.STDEV.S((D10:D46))</f>
        <v>0.37410513850340921</v>
      </c>
    </row>
    <row r="63" spans="1:4" x14ac:dyDescent="0.25">
      <c r="A63">
        <f>VAR(A8:A58)</f>
        <v>0.45401701960784324</v>
      </c>
      <c r="B63">
        <f>VAR(B8:B44)</f>
        <v>0.16697477477477499</v>
      </c>
      <c r="C63">
        <f>VAR(C8:C44)</f>
        <v>0.31664249249249204</v>
      </c>
      <c r="D63">
        <f>VAR(D8:D46)</f>
        <v>0.54836207827260475</v>
      </c>
    </row>
  </sheetData>
  <sortState xmlns:xlrd2="http://schemas.microsoft.com/office/spreadsheetml/2017/richdata2" ref="D8:D46">
    <sortCondition ref="D8"/>
  </sortState>
  <mergeCells count="1">
    <mergeCell ref="B1:J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3"/>
  <sheetViews>
    <sheetView topLeftCell="A7" zoomScaleNormal="150" zoomScaleSheetLayoutView="100" workbookViewId="0">
      <selection activeCell="D42" sqref="D8:D42"/>
    </sheetView>
  </sheetViews>
  <sheetFormatPr baseColWidth="10" defaultColWidth="9.140625" defaultRowHeight="15" x14ac:dyDescent="0.25"/>
  <cols>
    <col min="3" max="3" width="9.42578125" bestFit="1" customWidth="1"/>
  </cols>
  <sheetData>
    <row r="1" spans="1:41" x14ac:dyDescent="0.25">
      <c r="A1" s="1" t="s">
        <v>2</v>
      </c>
      <c r="B1" s="16" t="s">
        <v>3</v>
      </c>
      <c r="C1" s="16"/>
      <c r="D1" s="16"/>
      <c r="E1" s="16"/>
      <c r="F1" s="16"/>
      <c r="G1" s="16"/>
      <c r="H1" s="16"/>
      <c r="I1" s="16"/>
      <c r="J1" s="16"/>
    </row>
    <row r="2" spans="1:41" x14ac:dyDescent="0.25">
      <c r="A2" s="1">
        <v>20</v>
      </c>
      <c r="B2" s="1">
        <v>74.48</v>
      </c>
      <c r="C2" s="1">
        <v>73.72</v>
      </c>
      <c r="D2" s="1">
        <v>73.37</v>
      </c>
      <c r="E2" s="1">
        <v>73.42</v>
      </c>
      <c r="F2" s="1">
        <v>73.790000000000006</v>
      </c>
      <c r="G2" s="1">
        <v>74.239999999999995</v>
      </c>
      <c r="H2" s="1">
        <v>74.430000000000007</v>
      </c>
      <c r="I2" s="1">
        <v>74.36</v>
      </c>
      <c r="J2" s="2">
        <v>74.97</v>
      </c>
      <c r="K2" s="2">
        <v>74.430000000000007</v>
      </c>
      <c r="L2" s="2">
        <v>75.069999999999993</v>
      </c>
      <c r="M2" s="2">
        <v>74.53</v>
      </c>
      <c r="N2" s="2">
        <v>74.930000000000007</v>
      </c>
      <c r="O2" s="2">
        <v>74.260000000000005</v>
      </c>
      <c r="P2" s="2">
        <v>74.47</v>
      </c>
      <c r="Q2" s="2">
        <v>74.44</v>
      </c>
      <c r="R2" s="2">
        <v>74.28</v>
      </c>
      <c r="S2" s="4">
        <v>73.61</v>
      </c>
      <c r="T2" s="4">
        <v>73.81</v>
      </c>
      <c r="U2" s="4">
        <v>74.19</v>
      </c>
      <c r="V2" s="4">
        <v>73.87</v>
      </c>
      <c r="W2" s="4">
        <v>74.31</v>
      </c>
      <c r="X2" s="4">
        <v>74.540000000000006</v>
      </c>
      <c r="Y2" s="4">
        <v>74.349999999999994</v>
      </c>
      <c r="Z2" s="4">
        <v>74.53</v>
      </c>
      <c r="AA2" s="4">
        <v>74.53</v>
      </c>
      <c r="AB2" s="3">
        <v>74.540000000000006</v>
      </c>
      <c r="AC2" s="3">
        <v>74.349999999999994</v>
      </c>
      <c r="AD2" s="3">
        <v>74.63</v>
      </c>
      <c r="AE2" s="3">
        <v>73.83</v>
      </c>
      <c r="AF2" s="3">
        <v>73.66</v>
      </c>
      <c r="AG2" s="3">
        <v>73.739999999999995</v>
      </c>
      <c r="AH2" s="3">
        <v>73.33</v>
      </c>
      <c r="AI2" s="3">
        <v>74.069999999999993</v>
      </c>
      <c r="AJ2" s="3">
        <v>74.540000000000006</v>
      </c>
      <c r="AK2" s="3">
        <v>74.37</v>
      </c>
      <c r="AL2" s="3">
        <v>73.16</v>
      </c>
      <c r="AM2" s="3">
        <v>73.13</v>
      </c>
    </row>
    <row r="3" spans="1:41" x14ac:dyDescent="0.25">
      <c r="A3" s="1">
        <v>25</v>
      </c>
      <c r="B3" s="1">
        <v>74.430000000000007</v>
      </c>
      <c r="C3" s="6"/>
      <c r="D3" s="1">
        <v>74.48</v>
      </c>
      <c r="E3" s="1">
        <v>74.38</v>
      </c>
      <c r="F3" s="1">
        <v>74.25</v>
      </c>
      <c r="G3" s="1">
        <v>74.5</v>
      </c>
      <c r="H3" s="1">
        <v>74.42</v>
      </c>
      <c r="I3" s="1">
        <v>74.38</v>
      </c>
      <c r="J3" s="2">
        <v>73.540000000000006</v>
      </c>
      <c r="K3" s="2">
        <v>74.17</v>
      </c>
      <c r="L3" s="2">
        <v>74.37</v>
      </c>
      <c r="M3" s="2">
        <v>74.41</v>
      </c>
      <c r="N3" s="2">
        <v>73.540000000000006</v>
      </c>
      <c r="O3" s="2">
        <v>74.06</v>
      </c>
      <c r="P3" s="2">
        <v>74.17</v>
      </c>
      <c r="Q3" s="2">
        <v>74.2</v>
      </c>
      <c r="R3" s="2">
        <v>74.400000000000006</v>
      </c>
      <c r="S3" s="4">
        <v>73.02</v>
      </c>
      <c r="T3" s="4">
        <v>73.11</v>
      </c>
      <c r="U3" s="4">
        <v>73.23</v>
      </c>
      <c r="V3" s="4">
        <v>73.13</v>
      </c>
      <c r="W3" s="4">
        <v>73.3</v>
      </c>
      <c r="X3" s="4">
        <v>73.239999999999995</v>
      </c>
      <c r="Y3" s="4">
        <v>73.260000000000005</v>
      </c>
      <c r="Z3" s="4">
        <v>73.319999999999993</v>
      </c>
      <c r="AA3" s="4">
        <v>73.319999999999993</v>
      </c>
      <c r="AB3" s="3">
        <v>73.37</v>
      </c>
      <c r="AC3" s="3">
        <v>73.05</v>
      </c>
      <c r="AD3" s="3">
        <v>73.33</v>
      </c>
      <c r="AE3" s="3">
        <v>72.489999999999995</v>
      </c>
      <c r="AF3" s="3">
        <v>72.3</v>
      </c>
      <c r="AG3" s="3">
        <v>72.33</v>
      </c>
      <c r="AH3" s="3">
        <v>72.42</v>
      </c>
      <c r="AI3" s="3">
        <v>72.16</v>
      </c>
      <c r="AJ3" s="3">
        <v>72.75</v>
      </c>
      <c r="AK3" s="3">
        <v>72.790000000000006</v>
      </c>
      <c r="AL3" s="3">
        <v>72.41</v>
      </c>
      <c r="AM3" s="3">
        <v>72.77</v>
      </c>
    </row>
    <row r="4" spans="1:41" x14ac:dyDescent="0.25">
      <c r="A4" s="1">
        <v>30</v>
      </c>
      <c r="B4" s="1">
        <v>72.86</v>
      </c>
      <c r="C4" s="1">
        <v>72.760000000000005</v>
      </c>
      <c r="D4" s="1">
        <v>72.8</v>
      </c>
      <c r="E4" s="1">
        <v>73.03</v>
      </c>
      <c r="F4" s="1">
        <v>72.88</v>
      </c>
      <c r="G4" s="1">
        <v>72.69</v>
      </c>
      <c r="H4" s="1">
        <v>72.77</v>
      </c>
      <c r="I4" s="1">
        <v>72.78</v>
      </c>
      <c r="J4" s="2">
        <v>72.7</v>
      </c>
      <c r="K4" s="2">
        <v>72.75</v>
      </c>
      <c r="L4" s="2">
        <v>72.77</v>
      </c>
      <c r="M4" s="2">
        <v>72.989999999999995</v>
      </c>
      <c r="N4" s="2">
        <v>72.59</v>
      </c>
      <c r="O4" s="2">
        <v>72.19</v>
      </c>
      <c r="P4" s="2">
        <v>73.2</v>
      </c>
      <c r="Q4" s="2">
        <v>73.28</v>
      </c>
      <c r="R4" s="2">
        <v>73.41</v>
      </c>
      <c r="S4" s="4">
        <v>72.209999999999994</v>
      </c>
      <c r="T4" s="4">
        <v>72.84</v>
      </c>
      <c r="U4" s="4">
        <v>72.77</v>
      </c>
      <c r="V4" s="4">
        <v>73.260000000000005</v>
      </c>
      <c r="W4" s="4">
        <v>72.849999999999994</v>
      </c>
      <c r="X4" s="4">
        <v>73.11</v>
      </c>
      <c r="Y4" s="4">
        <v>72.88</v>
      </c>
      <c r="Z4" s="4">
        <v>73.06</v>
      </c>
      <c r="AA4" s="4">
        <v>73.099999999999994</v>
      </c>
      <c r="AB4" s="4">
        <v>73.010000000000005</v>
      </c>
      <c r="AC4" s="4">
        <v>72.989999999999995</v>
      </c>
      <c r="AD4" s="3">
        <v>73.260000000000005</v>
      </c>
      <c r="AE4" s="3">
        <v>72.989999999999995</v>
      </c>
      <c r="AF4" s="3">
        <v>73.06</v>
      </c>
      <c r="AG4" s="3">
        <v>73.069999999999993</v>
      </c>
      <c r="AH4" s="3">
        <v>72.88</v>
      </c>
      <c r="AI4" s="3">
        <v>72.84</v>
      </c>
      <c r="AJ4" s="3">
        <v>72.709999999999994</v>
      </c>
      <c r="AK4" s="3">
        <v>72.88</v>
      </c>
      <c r="AL4" s="3">
        <v>72.66</v>
      </c>
      <c r="AM4" s="3">
        <v>72.73</v>
      </c>
      <c r="AN4" s="3">
        <v>72.88</v>
      </c>
      <c r="AO4" s="3">
        <v>72.8</v>
      </c>
    </row>
    <row r="5" spans="1:41" x14ac:dyDescent="0.25">
      <c r="A5" s="1">
        <v>35</v>
      </c>
      <c r="B5" s="1">
        <v>71.959999999999994</v>
      </c>
      <c r="C5" s="1">
        <v>72.06</v>
      </c>
      <c r="D5" s="1">
        <v>71.88</v>
      </c>
      <c r="E5" s="1">
        <v>72.13</v>
      </c>
      <c r="F5" s="1">
        <v>72.13</v>
      </c>
      <c r="G5" s="1">
        <v>71.95</v>
      </c>
      <c r="H5" s="1">
        <v>72.02</v>
      </c>
      <c r="I5" s="1">
        <v>71.94</v>
      </c>
      <c r="J5" s="2">
        <v>72.599999999999994</v>
      </c>
      <c r="K5" s="2">
        <v>72.78</v>
      </c>
      <c r="L5" s="2">
        <v>72.48</v>
      </c>
      <c r="M5" s="2">
        <v>72.62</v>
      </c>
      <c r="N5" s="2">
        <v>72.069999999999993</v>
      </c>
      <c r="O5" s="2">
        <v>73.430000000000007</v>
      </c>
      <c r="P5" s="2">
        <v>73.16</v>
      </c>
      <c r="Q5" s="2">
        <v>73.650000000000006</v>
      </c>
      <c r="R5" s="2">
        <v>73.040000000000006</v>
      </c>
      <c r="S5" s="4">
        <v>71.47</v>
      </c>
      <c r="T5" s="4">
        <v>71.540000000000006</v>
      </c>
      <c r="U5" s="4">
        <v>71.63</v>
      </c>
      <c r="V5" s="4">
        <v>71.599999999999994</v>
      </c>
      <c r="W5" s="4">
        <v>71.36</v>
      </c>
      <c r="X5" s="4">
        <v>72.069999999999993</v>
      </c>
      <c r="Y5" s="4">
        <v>71.97</v>
      </c>
      <c r="Z5" s="4">
        <v>72.180000000000007</v>
      </c>
      <c r="AA5" s="4">
        <v>72.37</v>
      </c>
      <c r="AB5">
        <v>72.8</v>
      </c>
      <c r="AC5" s="3">
        <v>71.47</v>
      </c>
      <c r="AD5" s="3">
        <v>71.45</v>
      </c>
      <c r="AE5" s="3">
        <v>72.52</v>
      </c>
      <c r="AF5" s="3">
        <v>71.95</v>
      </c>
      <c r="AG5" s="3">
        <v>72.180000000000007</v>
      </c>
      <c r="AH5" s="3">
        <v>72.2</v>
      </c>
      <c r="AI5" s="3">
        <v>71.97</v>
      </c>
      <c r="AJ5" s="3">
        <v>72.17</v>
      </c>
      <c r="AK5" s="3">
        <v>72.05</v>
      </c>
      <c r="AL5" s="3">
        <v>72.08</v>
      </c>
    </row>
    <row r="8" spans="1:41" x14ac:dyDescent="0.25">
      <c r="A8" s="3">
        <v>73.13</v>
      </c>
      <c r="B8" s="3">
        <v>72.16</v>
      </c>
      <c r="C8" s="11">
        <v>72.19</v>
      </c>
      <c r="D8" s="4">
        <v>71.36</v>
      </c>
      <c r="F8" s="1">
        <v>20</v>
      </c>
      <c r="M8" s="2">
        <v>30</v>
      </c>
    </row>
    <row r="9" spans="1:41" x14ac:dyDescent="0.25">
      <c r="A9" s="3">
        <v>73.16</v>
      </c>
      <c r="B9" s="3">
        <v>72.3</v>
      </c>
      <c r="C9" s="11">
        <v>72.209999999999994</v>
      </c>
      <c r="D9" s="3">
        <v>71.45</v>
      </c>
    </row>
    <row r="10" spans="1:41" x14ac:dyDescent="0.25">
      <c r="A10" s="3">
        <v>73.33</v>
      </c>
      <c r="B10" s="3">
        <v>72.33</v>
      </c>
      <c r="C10" s="2">
        <v>72.59</v>
      </c>
      <c r="D10" s="4">
        <v>71.47</v>
      </c>
    </row>
    <row r="11" spans="1:41" x14ac:dyDescent="0.25">
      <c r="A11" s="1">
        <v>73.37</v>
      </c>
      <c r="B11" s="3">
        <v>72.41</v>
      </c>
      <c r="C11" s="3">
        <v>72.66</v>
      </c>
      <c r="D11" s="3">
        <v>71.47</v>
      </c>
    </row>
    <row r="12" spans="1:41" x14ac:dyDescent="0.25">
      <c r="A12" s="1">
        <v>73.42</v>
      </c>
      <c r="B12" s="3">
        <v>72.42</v>
      </c>
      <c r="C12" s="1">
        <v>72.69</v>
      </c>
      <c r="D12" s="4">
        <v>71.540000000000006</v>
      </c>
    </row>
    <row r="13" spans="1:41" x14ac:dyDescent="0.25">
      <c r="A13" s="4">
        <v>73.61</v>
      </c>
      <c r="B13" s="3">
        <v>72.489999999999995</v>
      </c>
      <c r="C13" s="2">
        <v>72.7</v>
      </c>
      <c r="D13" s="4">
        <v>71.599999999999994</v>
      </c>
    </row>
    <row r="14" spans="1:41" x14ac:dyDescent="0.25">
      <c r="A14" s="3">
        <v>73.66</v>
      </c>
      <c r="B14" s="3">
        <v>72.75</v>
      </c>
      <c r="C14" s="3">
        <v>72.709999999999994</v>
      </c>
      <c r="D14" s="4">
        <v>71.63</v>
      </c>
    </row>
    <row r="15" spans="1:41" x14ac:dyDescent="0.25">
      <c r="A15" s="1">
        <v>73.72</v>
      </c>
      <c r="B15" s="3">
        <v>72.77</v>
      </c>
      <c r="C15" s="3">
        <v>72.73</v>
      </c>
      <c r="D15" s="1">
        <v>71.88</v>
      </c>
    </row>
    <row r="16" spans="1:41" x14ac:dyDescent="0.25">
      <c r="A16" s="3">
        <v>73.739999999999995</v>
      </c>
      <c r="B16" s="3">
        <v>72.790000000000006</v>
      </c>
      <c r="C16" s="2">
        <v>72.75</v>
      </c>
      <c r="D16" s="1">
        <v>71.94</v>
      </c>
    </row>
    <row r="17" spans="1:13" x14ac:dyDescent="0.25">
      <c r="A17" s="1">
        <v>73.790000000000006</v>
      </c>
      <c r="B17" s="4">
        <v>73.02</v>
      </c>
      <c r="C17" s="1">
        <v>72.760000000000005</v>
      </c>
      <c r="D17" s="1">
        <v>71.95</v>
      </c>
    </row>
    <row r="18" spans="1:13" x14ac:dyDescent="0.25">
      <c r="A18" s="4">
        <v>73.81</v>
      </c>
      <c r="B18" s="3">
        <v>73.05</v>
      </c>
      <c r="C18" s="1">
        <v>72.77</v>
      </c>
      <c r="D18" s="3">
        <v>71.95</v>
      </c>
    </row>
    <row r="19" spans="1:13" x14ac:dyDescent="0.25">
      <c r="A19" s="3">
        <v>73.83</v>
      </c>
      <c r="B19" s="4">
        <v>73.11</v>
      </c>
      <c r="C19" s="2">
        <v>72.77</v>
      </c>
      <c r="D19" s="1">
        <v>71.959999999999994</v>
      </c>
      <c r="F19">
        <v>25</v>
      </c>
      <c r="M19">
        <v>35</v>
      </c>
    </row>
    <row r="20" spans="1:13" x14ac:dyDescent="0.25">
      <c r="A20" s="4">
        <v>73.87</v>
      </c>
      <c r="B20" s="4">
        <v>73.13</v>
      </c>
      <c r="C20" s="4">
        <v>72.77</v>
      </c>
      <c r="D20" s="4">
        <v>71.97</v>
      </c>
    </row>
    <row r="21" spans="1:13" x14ac:dyDescent="0.25">
      <c r="A21" s="3">
        <v>74.069999999999993</v>
      </c>
      <c r="B21" s="4">
        <v>73.23</v>
      </c>
      <c r="C21" s="1">
        <v>72.78</v>
      </c>
      <c r="D21" s="3">
        <v>71.97</v>
      </c>
    </row>
    <row r="22" spans="1:13" x14ac:dyDescent="0.25">
      <c r="A22" s="4">
        <v>74.19</v>
      </c>
      <c r="B22" s="4">
        <v>73.239999999999995</v>
      </c>
      <c r="C22" s="1">
        <v>72.8</v>
      </c>
      <c r="D22" s="1">
        <v>72.02</v>
      </c>
    </row>
    <row r="23" spans="1:13" x14ac:dyDescent="0.25">
      <c r="A23" s="1">
        <v>74.239999999999995</v>
      </c>
      <c r="B23" s="4">
        <v>73.260000000000005</v>
      </c>
      <c r="C23" s="3">
        <v>72.8</v>
      </c>
      <c r="D23" s="3">
        <v>72.05</v>
      </c>
      <c r="E23" s="10"/>
      <c r="F23" s="10"/>
      <c r="G23" s="10"/>
      <c r="H23" s="10"/>
      <c r="I23" s="10"/>
      <c r="J23" s="10"/>
      <c r="K23" s="10"/>
    </row>
    <row r="24" spans="1:13" x14ac:dyDescent="0.25">
      <c r="A24" s="2">
        <v>74.260000000000005</v>
      </c>
      <c r="B24" s="4">
        <v>73.3</v>
      </c>
      <c r="C24" s="4">
        <v>72.84</v>
      </c>
      <c r="D24" s="1">
        <v>72.06</v>
      </c>
    </row>
    <row r="25" spans="1:13" x14ac:dyDescent="0.25">
      <c r="A25" s="2">
        <v>74.28</v>
      </c>
      <c r="B25" s="4">
        <v>73.319999999999993</v>
      </c>
      <c r="C25" s="3">
        <v>72.84</v>
      </c>
      <c r="D25" s="2">
        <v>72.069999999999993</v>
      </c>
    </row>
    <row r="26" spans="1:13" x14ac:dyDescent="0.25">
      <c r="A26" s="4">
        <v>74.31</v>
      </c>
      <c r="B26" s="4">
        <v>73.319999999999993</v>
      </c>
      <c r="C26" s="4">
        <v>72.849999999999994</v>
      </c>
      <c r="D26" s="4">
        <v>72.069999999999993</v>
      </c>
    </row>
    <row r="27" spans="1:13" x14ac:dyDescent="0.25">
      <c r="A27" s="4">
        <v>74.349999999999994</v>
      </c>
      <c r="B27" s="3">
        <v>73.33</v>
      </c>
      <c r="C27" s="1">
        <v>72.86</v>
      </c>
      <c r="D27" s="3">
        <v>72.08</v>
      </c>
    </row>
    <row r="28" spans="1:13" x14ac:dyDescent="0.25">
      <c r="A28" s="3">
        <v>74.349999999999994</v>
      </c>
      <c r="B28" s="3">
        <v>73.37</v>
      </c>
      <c r="C28" s="1">
        <v>72.88</v>
      </c>
      <c r="D28" s="1">
        <v>72.13</v>
      </c>
    </row>
    <row r="29" spans="1:13" x14ac:dyDescent="0.25">
      <c r="A29" s="1">
        <v>74.36</v>
      </c>
      <c r="B29" s="2">
        <v>73.540000000000006</v>
      </c>
      <c r="C29" s="4">
        <v>72.88</v>
      </c>
      <c r="D29" s="1">
        <v>72.13</v>
      </c>
    </row>
    <row r="30" spans="1:13" x14ac:dyDescent="0.25">
      <c r="A30" s="3">
        <v>74.37</v>
      </c>
      <c r="B30" s="2">
        <v>73.540000000000006</v>
      </c>
      <c r="C30" s="3">
        <v>72.88</v>
      </c>
      <c r="D30" s="3">
        <v>72.17</v>
      </c>
    </row>
    <row r="31" spans="1:13" x14ac:dyDescent="0.25">
      <c r="A31" s="1">
        <v>74.430000000000007</v>
      </c>
      <c r="B31" s="2">
        <v>74.06</v>
      </c>
      <c r="C31" s="3">
        <v>72.88</v>
      </c>
      <c r="D31" s="4">
        <v>72.180000000000007</v>
      </c>
    </row>
    <row r="32" spans="1:13" x14ac:dyDescent="0.25">
      <c r="A32" s="2">
        <v>74.430000000000007</v>
      </c>
      <c r="B32" s="2">
        <v>74.17</v>
      </c>
      <c r="C32" s="3">
        <v>72.88</v>
      </c>
      <c r="D32" s="3">
        <v>72.180000000000007</v>
      </c>
    </row>
    <row r="33" spans="1:4" x14ac:dyDescent="0.25">
      <c r="A33" s="2">
        <v>74.44</v>
      </c>
      <c r="B33" s="2">
        <v>74.17</v>
      </c>
      <c r="C33" s="2">
        <v>72.989999999999995</v>
      </c>
      <c r="D33" s="3">
        <v>72.2</v>
      </c>
    </row>
    <row r="34" spans="1:4" x14ac:dyDescent="0.25">
      <c r="A34" s="2">
        <v>74.47</v>
      </c>
      <c r="B34" s="2">
        <v>74.2</v>
      </c>
      <c r="C34" s="4">
        <v>72.989999999999995</v>
      </c>
      <c r="D34" s="4">
        <v>72.37</v>
      </c>
    </row>
    <row r="35" spans="1:4" x14ac:dyDescent="0.25">
      <c r="A35" s="1">
        <v>74.48</v>
      </c>
      <c r="B35" s="1">
        <v>74.25</v>
      </c>
      <c r="C35" s="3">
        <v>72.989999999999995</v>
      </c>
      <c r="D35" s="2">
        <v>72.48</v>
      </c>
    </row>
    <row r="36" spans="1:4" x14ac:dyDescent="0.25">
      <c r="A36" s="2">
        <v>74.53</v>
      </c>
      <c r="B36" s="2">
        <v>74.37</v>
      </c>
      <c r="C36" s="4">
        <v>73.010000000000005</v>
      </c>
      <c r="D36" s="3">
        <v>72.52</v>
      </c>
    </row>
    <row r="37" spans="1:4" x14ac:dyDescent="0.25">
      <c r="A37" s="4">
        <v>74.53</v>
      </c>
      <c r="B37" s="1">
        <v>74.38</v>
      </c>
      <c r="C37" s="1">
        <v>73.03</v>
      </c>
      <c r="D37" s="2">
        <v>72.599999999999994</v>
      </c>
    </row>
    <row r="38" spans="1:4" x14ac:dyDescent="0.25">
      <c r="A38" s="4">
        <v>74.53</v>
      </c>
      <c r="B38" s="1">
        <v>74.38</v>
      </c>
      <c r="C38" s="4">
        <v>73.06</v>
      </c>
      <c r="D38" s="2">
        <v>72.62</v>
      </c>
    </row>
    <row r="39" spans="1:4" x14ac:dyDescent="0.25">
      <c r="A39" s="4">
        <v>74.540000000000006</v>
      </c>
      <c r="B39" s="2">
        <v>74.400000000000006</v>
      </c>
      <c r="C39" s="3">
        <v>73.06</v>
      </c>
      <c r="D39" s="2">
        <v>72.78</v>
      </c>
    </row>
    <row r="40" spans="1:4" x14ac:dyDescent="0.25">
      <c r="A40" s="3">
        <v>74.540000000000006</v>
      </c>
      <c r="B40" s="2">
        <v>74.41</v>
      </c>
      <c r="C40" s="3">
        <v>73.069999999999993</v>
      </c>
      <c r="D40">
        <v>72.8</v>
      </c>
    </row>
    <row r="41" spans="1:4" x14ac:dyDescent="0.25">
      <c r="A41" s="3">
        <v>74.540000000000006</v>
      </c>
      <c r="B41" s="1">
        <v>74.42</v>
      </c>
      <c r="C41" s="4">
        <v>73.099999999999994</v>
      </c>
      <c r="D41" s="2">
        <v>73.040000000000006</v>
      </c>
    </row>
    <row r="42" spans="1:4" x14ac:dyDescent="0.25">
      <c r="A42" s="3">
        <v>74.63</v>
      </c>
      <c r="B42" s="1">
        <v>74.430000000000007</v>
      </c>
      <c r="C42" s="4">
        <v>73.11</v>
      </c>
      <c r="D42" s="2">
        <v>73.16</v>
      </c>
    </row>
    <row r="43" spans="1:4" x14ac:dyDescent="0.25">
      <c r="A43" s="2">
        <v>74.930000000000007</v>
      </c>
      <c r="B43" s="1">
        <v>74.48</v>
      </c>
      <c r="C43" s="2">
        <v>73.2</v>
      </c>
      <c r="D43" s="11">
        <v>73.430000000000007</v>
      </c>
    </row>
    <row r="44" spans="1:4" x14ac:dyDescent="0.25">
      <c r="A44" s="2">
        <v>74.97</v>
      </c>
      <c r="B44" s="1">
        <v>74.5</v>
      </c>
      <c r="C44" s="4">
        <v>73.260000000000005</v>
      </c>
      <c r="D44" s="11">
        <v>73.650000000000006</v>
      </c>
    </row>
    <row r="45" spans="1:4" x14ac:dyDescent="0.25">
      <c r="A45" s="2">
        <v>75.069999999999993</v>
      </c>
      <c r="B45" s="6"/>
      <c r="C45" s="3">
        <v>73.260000000000005</v>
      </c>
    </row>
    <row r="46" spans="1:4" x14ac:dyDescent="0.25">
      <c r="C46" s="2">
        <v>73.28</v>
      </c>
    </row>
    <row r="47" spans="1:4" x14ac:dyDescent="0.25">
      <c r="C47" s="2">
        <v>73.41</v>
      </c>
    </row>
    <row r="49" spans="1:4" x14ac:dyDescent="0.25">
      <c r="A49">
        <f>AVERAGE(A8:A45)</f>
        <v>74.165263157894742</v>
      </c>
      <c r="B49">
        <f>AVERAGE(B8:B45)</f>
        <v>73.481081081081072</v>
      </c>
      <c r="C49">
        <f>AVERAGE(C10:C47)</f>
        <v>72.918157894736865</v>
      </c>
      <c r="D49">
        <f>AVERAGE(D8:D42)</f>
        <v>72.110000000000014</v>
      </c>
    </row>
    <row r="50" spans="1:4" x14ac:dyDescent="0.25">
      <c r="A50">
        <f>_xlfn.STDEV.S(A8:A45)</f>
        <v>0.49534447114352814</v>
      </c>
      <c r="B50">
        <f>_xlfn.STDEV.S(B8:B45)</f>
        <v>0.7549568927494551</v>
      </c>
      <c r="C50">
        <f>_xlfn.STDEV.S(C10:C47)</f>
        <v>0.19465638836314469</v>
      </c>
      <c r="D50">
        <f>_xlfn.STDEV.S(D8:D42)</f>
        <v>0.44169459771097408</v>
      </c>
    </row>
    <row r="53" spans="1:4" x14ac:dyDescent="0.25">
      <c r="A53">
        <f>VAR(A8:A45)</f>
        <v>0.2453661450924616</v>
      </c>
      <c r="B53">
        <f>VAR(B8:B45)</f>
        <v>0.56995990990991219</v>
      </c>
      <c r="C53">
        <f>VAR(C10:C47)</f>
        <v>3.789110953058341E-2</v>
      </c>
      <c r="D53">
        <f>VAR(D8:D42)</f>
        <v>0.19509411764705922</v>
      </c>
    </row>
  </sheetData>
  <sortState xmlns:xlrd2="http://schemas.microsoft.com/office/spreadsheetml/2017/richdata2" ref="D8:D44">
    <sortCondition ref="D8"/>
  </sortState>
  <mergeCells count="1">
    <mergeCell ref="B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6"/>
  <sheetViews>
    <sheetView topLeftCell="A34" zoomScaleNormal="150" zoomScaleSheetLayoutView="100" workbookViewId="0">
      <selection activeCell="D38" sqref="D8:D38"/>
    </sheetView>
  </sheetViews>
  <sheetFormatPr baseColWidth="10" defaultColWidth="9.140625" defaultRowHeight="15" x14ac:dyDescent="0.25"/>
  <sheetData>
    <row r="1" spans="1:33" x14ac:dyDescent="0.25">
      <c r="A1" s="1" t="s">
        <v>2</v>
      </c>
      <c r="B1" s="16" t="s">
        <v>3</v>
      </c>
      <c r="C1" s="16"/>
      <c r="D1" s="16"/>
      <c r="E1" s="16"/>
      <c r="F1" s="16"/>
      <c r="G1" s="16"/>
      <c r="H1" s="16"/>
      <c r="I1" s="16"/>
      <c r="J1" s="16"/>
    </row>
    <row r="2" spans="1:33" x14ac:dyDescent="0.25">
      <c r="A2" s="1">
        <v>20</v>
      </c>
      <c r="B2" s="1">
        <v>75.8</v>
      </c>
      <c r="C2" s="1">
        <v>75.39</v>
      </c>
      <c r="D2" s="1">
        <v>75.81</v>
      </c>
      <c r="E2" s="1">
        <v>75.760000000000005</v>
      </c>
      <c r="F2" s="1">
        <v>75.790000000000006</v>
      </c>
      <c r="G2" s="1">
        <v>75.599999999999994</v>
      </c>
      <c r="H2" s="1">
        <v>75.59</v>
      </c>
      <c r="I2" s="1">
        <v>75.42</v>
      </c>
      <c r="J2" s="1">
        <v>75.540000000000006</v>
      </c>
      <c r="K2" s="2">
        <v>75.84</v>
      </c>
      <c r="L2" s="2">
        <v>75.48</v>
      </c>
      <c r="M2" s="2">
        <v>75.67</v>
      </c>
      <c r="N2" s="2">
        <v>75.77</v>
      </c>
      <c r="O2" s="2">
        <v>75.7</v>
      </c>
      <c r="P2" s="2">
        <v>75.56</v>
      </c>
      <c r="Q2" s="2">
        <v>75.260000000000005</v>
      </c>
      <c r="R2" s="2">
        <v>75.72</v>
      </c>
      <c r="S2" s="2">
        <v>75.72</v>
      </c>
      <c r="T2" s="3">
        <v>74.849999999999994</v>
      </c>
      <c r="U2" s="3">
        <v>74.760000000000005</v>
      </c>
      <c r="V2" s="3">
        <v>75.34</v>
      </c>
      <c r="W2" s="3">
        <v>74.94</v>
      </c>
      <c r="X2" s="3">
        <v>74.63</v>
      </c>
      <c r="Y2" s="3">
        <v>74.61</v>
      </c>
      <c r="Z2" s="3">
        <v>74.47</v>
      </c>
      <c r="AA2" s="3">
        <v>74.78</v>
      </c>
      <c r="AB2" s="3">
        <v>74.760000000000005</v>
      </c>
    </row>
    <row r="3" spans="1:33" x14ac:dyDescent="0.25">
      <c r="A3" s="1">
        <v>25</v>
      </c>
      <c r="B3" s="1">
        <v>74.930000000000007</v>
      </c>
      <c r="C3" s="1">
        <v>74.95</v>
      </c>
      <c r="D3" s="1">
        <v>75.08</v>
      </c>
      <c r="E3" s="1">
        <v>74.97</v>
      </c>
      <c r="F3" s="1">
        <v>75.17</v>
      </c>
      <c r="G3" s="1">
        <v>75.06</v>
      </c>
      <c r="H3" s="1">
        <v>75.19</v>
      </c>
      <c r="I3" s="1">
        <v>74.62</v>
      </c>
      <c r="J3" s="1">
        <v>74.78</v>
      </c>
      <c r="K3" s="2">
        <v>75.38</v>
      </c>
      <c r="L3" s="2">
        <v>75.540000000000006</v>
      </c>
      <c r="M3" s="2">
        <v>74.72</v>
      </c>
      <c r="N3" s="2">
        <v>74.819999999999993</v>
      </c>
      <c r="O3" s="2">
        <v>75.02</v>
      </c>
      <c r="P3" s="2">
        <v>74.8</v>
      </c>
      <c r="Q3" s="2">
        <v>74.64</v>
      </c>
      <c r="R3" s="2">
        <v>74.8</v>
      </c>
      <c r="S3" s="2">
        <v>74.7</v>
      </c>
      <c r="T3" s="3">
        <v>73.97</v>
      </c>
      <c r="U3" s="3">
        <v>73.400000000000006</v>
      </c>
      <c r="V3" s="3">
        <v>73.959999999999994</v>
      </c>
      <c r="W3" s="3">
        <v>74.25</v>
      </c>
      <c r="X3" s="3">
        <v>73.459999999999994</v>
      </c>
      <c r="Y3" s="3">
        <v>73.42</v>
      </c>
      <c r="Z3" s="3">
        <v>73.47</v>
      </c>
      <c r="AA3" s="3">
        <v>73.38</v>
      </c>
      <c r="AB3" s="3">
        <v>73.569999999999993</v>
      </c>
      <c r="AC3" s="3">
        <v>73.48</v>
      </c>
      <c r="AD3" s="3">
        <v>73.430000000000007</v>
      </c>
      <c r="AE3" s="3">
        <v>73.55</v>
      </c>
      <c r="AF3" s="3">
        <v>73.41</v>
      </c>
    </row>
    <row r="4" spans="1:33" x14ac:dyDescent="0.25">
      <c r="A4" s="1">
        <v>30</v>
      </c>
      <c r="B4" s="1">
        <v>73.760000000000005</v>
      </c>
      <c r="C4" s="1">
        <v>74.67</v>
      </c>
      <c r="D4" s="1">
        <v>74.569999999999993</v>
      </c>
      <c r="E4" s="1">
        <v>73.91</v>
      </c>
      <c r="F4" s="1">
        <v>73.88</v>
      </c>
      <c r="G4" s="1">
        <v>74.14</v>
      </c>
      <c r="H4" s="1">
        <v>73.94</v>
      </c>
      <c r="I4" s="1">
        <v>74.12</v>
      </c>
      <c r="J4" s="1">
        <v>73.989999999999995</v>
      </c>
      <c r="K4" s="2">
        <v>73.89</v>
      </c>
      <c r="L4" s="2">
        <v>74.63</v>
      </c>
      <c r="M4" s="2">
        <v>74.47</v>
      </c>
      <c r="N4" s="2">
        <v>74.290000000000006</v>
      </c>
      <c r="O4" s="2">
        <v>73.95</v>
      </c>
      <c r="P4" s="2">
        <v>74.03</v>
      </c>
      <c r="Q4" s="2">
        <v>74.09</v>
      </c>
      <c r="R4" s="2">
        <v>74.2</v>
      </c>
      <c r="S4" s="2">
        <v>73.900000000000006</v>
      </c>
      <c r="T4" s="3">
        <v>72.64</v>
      </c>
      <c r="U4" s="3">
        <v>72.430000000000007</v>
      </c>
      <c r="V4" s="3">
        <v>73.150000000000006</v>
      </c>
      <c r="W4" s="3">
        <v>73.02</v>
      </c>
      <c r="X4" s="3">
        <v>73.430000000000007</v>
      </c>
      <c r="Y4" s="3">
        <v>73.400000000000006</v>
      </c>
      <c r="Z4" s="3">
        <v>73.22</v>
      </c>
      <c r="AA4" s="3">
        <v>73.36</v>
      </c>
      <c r="AB4" s="3">
        <v>73.31</v>
      </c>
      <c r="AC4" s="3">
        <v>73.319999999999993</v>
      </c>
      <c r="AD4" s="3">
        <v>73.59</v>
      </c>
      <c r="AE4" s="3">
        <v>73.25</v>
      </c>
      <c r="AF4" s="3">
        <v>73.59</v>
      </c>
      <c r="AG4" s="3">
        <v>73.790000000000006</v>
      </c>
    </row>
    <row r="5" spans="1:33" x14ac:dyDescent="0.25">
      <c r="A5" s="1">
        <v>35</v>
      </c>
      <c r="B5" s="1">
        <v>72.94</v>
      </c>
      <c r="C5" s="1">
        <v>72.88</v>
      </c>
      <c r="D5" s="1">
        <v>72.84</v>
      </c>
      <c r="E5" s="1">
        <v>73.16</v>
      </c>
      <c r="F5" s="1">
        <v>72.73</v>
      </c>
      <c r="G5" s="1">
        <v>72.69</v>
      </c>
      <c r="H5" s="1">
        <v>73.47</v>
      </c>
      <c r="I5" s="1">
        <v>71.89</v>
      </c>
      <c r="J5" s="1">
        <v>72.91</v>
      </c>
      <c r="K5" s="2">
        <v>72.59</v>
      </c>
      <c r="L5" s="2">
        <v>73.63</v>
      </c>
      <c r="M5" s="2">
        <v>73.540000000000006</v>
      </c>
      <c r="N5" s="2">
        <v>73.41</v>
      </c>
      <c r="O5" s="2">
        <v>72.86</v>
      </c>
      <c r="P5" s="2">
        <v>72.78</v>
      </c>
      <c r="Q5" s="2">
        <v>72.91</v>
      </c>
      <c r="R5" s="2">
        <v>72.75</v>
      </c>
      <c r="S5" s="2">
        <v>73.06</v>
      </c>
      <c r="T5" s="3">
        <v>72.17</v>
      </c>
      <c r="U5" s="3">
        <v>72.8</v>
      </c>
      <c r="V5" s="3">
        <v>72.69</v>
      </c>
      <c r="W5" s="3">
        <v>71.819999999999993</v>
      </c>
      <c r="X5" s="3">
        <v>72.59</v>
      </c>
      <c r="Y5" s="3">
        <v>72.67</v>
      </c>
      <c r="Z5" s="3">
        <v>72.92</v>
      </c>
      <c r="AA5" s="3">
        <v>72.42</v>
      </c>
      <c r="AB5" s="3">
        <v>72.349999999999994</v>
      </c>
      <c r="AC5" s="3">
        <v>72.45</v>
      </c>
      <c r="AD5" s="3">
        <v>73.290000000000006</v>
      </c>
      <c r="AE5" s="3">
        <v>72.42</v>
      </c>
      <c r="AF5" s="3">
        <v>72.34</v>
      </c>
    </row>
    <row r="8" spans="1:33" x14ac:dyDescent="0.25">
      <c r="A8" s="3">
        <v>74.47</v>
      </c>
      <c r="B8" s="3">
        <v>73.38</v>
      </c>
      <c r="C8" s="3">
        <v>72.430000000000007</v>
      </c>
      <c r="D8" s="3">
        <v>71.819999999999993</v>
      </c>
      <c r="E8" s="10"/>
      <c r="F8" s="10"/>
      <c r="G8" s="10"/>
      <c r="H8" s="10"/>
      <c r="I8" s="10"/>
      <c r="J8" s="10"/>
    </row>
    <row r="9" spans="1:33" x14ac:dyDescent="0.25">
      <c r="A9" s="3">
        <v>74.61</v>
      </c>
      <c r="B9" s="3">
        <v>73.400000000000006</v>
      </c>
      <c r="C9" s="3">
        <v>72.64</v>
      </c>
      <c r="D9" s="1">
        <v>71.89</v>
      </c>
    </row>
    <row r="10" spans="1:33" x14ac:dyDescent="0.25">
      <c r="A10" s="3">
        <v>74.63</v>
      </c>
      <c r="B10" s="3">
        <v>73.41</v>
      </c>
      <c r="C10" s="3">
        <v>73.02</v>
      </c>
      <c r="D10" s="3">
        <v>72.17</v>
      </c>
    </row>
    <row r="11" spans="1:33" x14ac:dyDescent="0.25">
      <c r="A11" s="3">
        <v>74.760000000000005</v>
      </c>
      <c r="B11" s="3">
        <v>73.42</v>
      </c>
      <c r="C11" s="3">
        <v>73.150000000000006</v>
      </c>
      <c r="D11" s="3">
        <v>72.34</v>
      </c>
    </row>
    <row r="12" spans="1:33" x14ac:dyDescent="0.25">
      <c r="A12" s="3">
        <v>74.760000000000005</v>
      </c>
      <c r="B12" s="3">
        <v>73.430000000000007</v>
      </c>
      <c r="C12" s="3">
        <v>73.22</v>
      </c>
      <c r="D12" s="3">
        <v>72.349999999999994</v>
      </c>
    </row>
    <row r="13" spans="1:33" x14ac:dyDescent="0.25">
      <c r="A13" s="3">
        <v>74.78</v>
      </c>
      <c r="B13" s="3">
        <v>73.459999999999994</v>
      </c>
      <c r="C13" s="3">
        <v>73.25</v>
      </c>
      <c r="D13" s="3">
        <v>72.42</v>
      </c>
      <c r="Q13" s="5"/>
    </row>
    <row r="14" spans="1:33" x14ac:dyDescent="0.25">
      <c r="A14" s="3">
        <v>74.849999999999994</v>
      </c>
      <c r="B14" s="3">
        <v>73.47</v>
      </c>
      <c r="C14" s="3">
        <v>73.31</v>
      </c>
      <c r="D14" s="3">
        <v>72.42</v>
      </c>
    </row>
    <row r="15" spans="1:33" x14ac:dyDescent="0.25">
      <c r="A15" s="2">
        <v>75.260000000000005</v>
      </c>
      <c r="B15" s="3">
        <v>73.48</v>
      </c>
      <c r="C15" s="3">
        <v>73.319999999999993</v>
      </c>
      <c r="D15" s="3">
        <v>72.45</v>
      </c>
      <c r="E15" s="10"/>
      <c r="F15" s="10"/>
      <c r="G15" s="10"/>
      <c r="H15" s="10"/>
      <c r="I15" s="10"/>
      <c r="J15" s="10"/>
    </row>
    <row r="16" spans="1:33" x14ac:dyDescent="0.25">
      <c r="A16" s="3">
        <v>75.34</v>
      </c>
      <c r="B16" s="3">
        <v>73.55</v>
      </c>
      <c r="C16" s="3">
        <v>73.36</v>
      </c>
      <c r="D16" s="2">
        <v>72.59</v>
      </c>
    </row>
    <row r="17" spans="1:10" x14ac:dyDescent="0.25">
      <c r="A17" s="1">
        <v>75.39</v>
      </c>
      <c r="B17" s="3">
        <v>73.569999999999993</v>
      </c>
      <c r="C17" s="3">
        <v>73.400000000000006</v>
      </c>
      <c r="D17" s="3">
        <v>72.59</v>
      </c>
    </row>
    <row r="18" spans="1:10" x14ac:dyDescent="0.25">
      <c r="A18" s="1">
        <v>75.42</v>
      </c>
      <c r="B18" s="3">
        <v>73.959999999999994</v>
      </c>
      <c r="C18" s="3">
        <v>73.430000000000007</v>
      </c>
      <c r="D18" s="3">
        <v>72.67</v>
      </c>
    </row>
    <row r="19" spans="1:10" x14ac:dyDescent="0.25">
      <c r="A19" s="2">
        <v>75.48</v>
      </c>
      <c r="B19" s="3">
        <v>73.97</v>
      </c>
      <c r="C19" s="3">
        <v>73.59</v>
      </c>
      <c r="D19" s="1">
        <v>72.69</v>
      </c>
    </row>
    <row r="20" spans="1:10" x14ac:dyDescent="0.25">
      <c r="A20" s="1">
        <v>75.540000000000006</v>
      </c>
      <c r="B20" s="3">
        <v>74.25</v>
      </c>
      <c r="C20" s="3">
        <v>73.59</v>
      </c>
      <c r="D20" s="3">
        <v>72.69</v>
      </c>
    </row>
    <row r="21" spans="1:10" x14ac:dyDescent="0.25">
      <c r="A21" s="2">
        <v>75.56</v>
      </c>
      <c r="B21" s="1">
        <v>74.62</v>
      </c>
      <c r="C21" s="1">
        <v>73.760000000000005</v>
      </c>
      <c r="D21" s="1">
        <v>72.73</v>
      </c>
    </row>
    <row r="22" spans="1:10" x14ac:dyDescent="0.25">
      <c r="A22" s="1">
        <v>75.59</v>
      </c>
      <c r="B22" s="2">
        <v>74.64</v>
      </c>
      <c r="C22" s="3">
        <v>73.790000000000006</v>
      </c>
      <c r="D22" s="2">
        <v>72.75</v>
      </c>
    </row>
    <row r="23" spans="1:10" x14ac:dyDescent="0.25">
      <c r="A23" s="1">
        <v>75.599999999999994</v>
      </c>
      <c r="B23" s="2">
        <v>74.7</v>
      </c>
      <c r="C23" s="1">
        <v>73.88</v>
      </c>
      <c r="D23" s="2">
        <v>72.78</v>
      </c>
      <c r="E23" s="10"/>
      <c r="F23" s="10"/>
      <c r="G23" s="10"/>
      <c r="H23" s="10"/>
      <c r="I23" s="10"/>
      <c r="J23" s="10"/>
    </row>
    <row r="24" spans="1:10" x14ac:dyDescent="0.25">
      <c r="A24" s="2">
        <v>75.67</v>
      </c>
      <c r="B24" s="2">
        <v>74.72</v>
      </c>
      <c r="C24" s="2">
        <v>73.89</v>
      </c>
      <c r="D24" s="3">
        <v>72.8</v>
      </c>
    </row>
    <row r="25" spans="1:10" x14ac:dyDescent="0.25">
      <c r="A25" s="2">
        <v>75.7</v>
      </c>
      <c r="B25" s="1">
        <v>74.78</v>
      </c>
      <c r="C25" s="2">
        <v>73.900000000000006</v>
      </c>
      <c r="D25" s="1">
        <v>72.84</v>
      </c>
    </row>
    <row r="26" spans="1:10" x14ac:dyDescent="0.25">
      <c r="A26" s="2">
        <v>75.72</v>
      </c>
      <c r="B26" s="2">
        <v>74.8</v>
      </c>
      <c r="C26" s="1">
        <v>73.91</v>
      </c>
      <c r="D26" s="2">
        <v>72.86</v>
      </c>
    </row>
    <row r="27" spans="1:10" x14ac:dyDescent="0.25">
      <c r="A27" s="2">
        <v>75.72</v>
      </c>
      <c r="B27" s="2">
        <v>74.8</v>
      </c>
      <c r="C27" s="1">
        <v>73.94</v>
      </c>
      <c r="D27" s="1">
        <v>72.88</v>
      </c>
    </row>
    <row r="28" spans="1:10" x14ac:dyDescent="0.25">
      <c r="A28" s="1">
        <v>75.760000000000005</v>
      </c>
      <c r="B28" s="2">
        <v>74.819999999999993</v>
      </c>
      <c r="C28" s="2">
        <v>73.95</v>
      </c>
      <c r="D28" s="1">
        <v>72.91</v>
      </c>
    </row>
    <row r="29" spans="1:10" x14ac:dyDescent="0.25">
      <c r="A29" s="2">
        <v>75.77</v>
      </c>
      <c r="B29" s="1">
        <v>74.930000000000007</v>
      </c>
      <c r="C29" s="1">
        <v>73.989999999999995</v>
      </c>
      <c r="D29" s="2">
        <v>72.91</v>
      </c>
    </row>
    <row r="30" spans="1:10" x14ac:dyDescent="0.25">
      <c r="A30" s="1">
        <v>75.790000000000006</v>
      </c>
      <c r="B30" s="1">
        <v>74.95</v>
      </c>
      <c r="C30" s="2">
        <v>74.03</v>
      </c>
      <c r="D30" s="3">
        <v>72.92</v>
      </c>
    </row>
    <row r="31" spans="1:10" x14ac:dyDescent="0.25">
      <c r="A31" s="1">
        <v>75.8</v>
      </c>
      <c r="B31" s="1">
        <v>74.97</v>
      </c>
      <c r="C31" s="2">
        <v>74.09</v>
      </c>
      <c r="D31" s="1">
        <v>72.94</v>
      </c>
    </row>
    <row r="32" spans="1:10" x14ac:dyDescent="0.25">
      <c r="A32" s="1">
        <v>75.81</v>
      </c>
      <c r="B32" s="2">
        <v>75.02</v>
      </c>
      <c r="C32" s="1">
        <v>74.12</v>
      </c>
      <c r="D32" s="2">
        <v>73.06</v>
      </c>
    </row>
    <row r="33" spans="1:4" x14ac:dyDescent="0.25">
      <c r="A33" s="2">
        <v>75.84</v>
      </c>
      <c r="B33" s="1">
        <v>75.06</v>
      </c>
      <c r="C33" s="1">
        <v>74.14</v>
      </c>
      <c r="D33" s="1">
        <v>73.16</v>
      </c>
    </row>
    <row r="34" spans="1:4" x14ac:dyDescent="0.25">
      <c r="A34" s="3">
        <v>74.94</v>
      </c>
      <c r="B34" s="1">
        <v>75.08</v>
      </c>
      <c r="C34" s="2">
        <v>74.2</v>
      </c>
      <c r="D34" s="3">
        <v>73.290000000000006</v>
      </c>
    </row>
    <row r="35" spans="1:4" x14ac:dyDescent="0.25">
      <c r="B35" s="1">
        <v>75.17</v>
      </c>
      <c r="C35" s="2">
        <v>74.290000000000006</v>
      </c>
      <c r="D35" s="2">
        <v>73.41</v>
      </c>
    </row>
    <row r="36" spans="1:4" x14ac:dyDescent="0.25">
      <c r="B36" s="1">
        <v>75.19</v>
      </c>
      <c r="C36" s="2">
        <v>74.47</v>
      </c>
      <c r="D36" s="1">
        <v>73.47</v>
      </c>
    </row>
    <row r="37" spans="1:4" x14ac:dyDescent="0.25">
      <c r="B37" s="2">
        <v>75.38</v>
      </c>
      <c r="C37" s="1">
        <v>74.569999999999993</v>
      </c>
      <c r="D37" s="2">
        <v>73.540000000000006</v>
      </c>
    </row>
    <row r="38" spans="1:4" x14ac:dyDescent="0.25">
      <c r="B38" s="2">
        <v>75.540000000000006</v>
      </c>
      <c r="C38" s="2">
        <v>74.63</v>
      </c>
      <c r="D38" s="2">
        <v>73.63</v>
      </c>
    </row>
    <row r="39" spans="1:4" x14ac:dyDescent="0.25">
      <c r="C39" s="1">
        <v>74.67</v>
      </c>
    </row>
    <row r="41" spans="1:4" x14ac:dyDescent="0.25">
      <c r="A41">
        <f>AVERAGE(A8:A34)</f>
        <v>75.354074074074063</v>
      </c>
      <c r="B41">
        <f>AVERAGE(B8:B38)</f>
        <v>74.384516129032264</v>
      </c>
      <c r="C41">
        <f>AVERAGE(C8:C39)</f>
        <v>73.747812500000009</v>
      </c>
      <c r="D41">
        <f>AVERAGE(D8:D38)</f>
        <v>72.77322580645162</v>
      </c>
    </row>
    <row r="42" spans="1:4" x14ac:dyDescent="0.25">
      <c r="A42">
        <f>_xlfn.STDEV.S(A8:A34)</f>
        <v>0.44730181910977962</v>
      </c>
      <c r="B42">
        <f>_xlfn.STDEV.S(B8:B38)</f>
        <v>0.72866470894679458</v>
      </c>
      <c r="C42">
        <f>_xlfn.STDEV.S(C8:C39)</f>
        <v>0.54517078930930274</v>
      </c>
      <c r="D42">
        <f>_xlfn.STDEV.S(D8:D38)</f>
        <v>0.43551798353052512</v>
      </c>
    </row>
    <row r="46" spans="1:4" x14ac:dyDescent="0.25">
      <c r="A46">
        <f>VAR(A8:A34)</f>
        <v>0.200078917378918</v>
      </c>
      <c r="B46">
        <f>VAR(B8:B38)</f>
        <v>0.53095225806451685</v>
      </c>
      <c r="C46">
        <f>VAR(C8:C39)</f>
        <v>0.29721118951612813</v>
      </c>
      <c r="D46">
        <f>VAR(D8:D38)</f>
        <v>0.18967591397849473</v>
      </c>
    </row>
  </sheetData>
  <sortState xmlns:xlrd2="http://schemas.microsoft.com/office/spreadsheetml/2017/richdata2" ref="D8:D38">
    <sortCondition ref="D8"/>
  </sortState>
  <mergeCells count="1">
    <mergeCell ref="B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77"/>
  <sheetViews>
    <sheetView topLeftCell="A66" zoomScaleNormal="150" zoomScaleSheetLayoutView="100" workbookViewId="0">
      <selection activeCell="E73" sqref="E73"/>
    </sheetView>
  </sheetViews>
  <sheetFormatPr baseColWidth="10" defaultColWidth="9.140625" defaultRowHeight="15" x14ac:dyDescent="0.25"/>
  <cols>
    <col min="1" max="1" width="4.85546875" customWidth="1"/>
  </cols>
  <sheetData>
    <row r="1" spans="1:64" x14ac:dyDescent="0.25">
      <c r="A1" s="16"/>
      <c r="B1" s="16"/>
      <c r="C1" s="16"/>
      <c r="D1" s="16"/>
      <c r="E1" s="16"/>
      <c r="F1" s="16"/>
      <c r="G1" s="16"/>
      <c r="H1" s="16"/>
      <c r="I1" s="16"/>
      <c r="O1" s="16"/>
      <c r="P1" s="16"/>
      <c r="Q1" s="16"/>
      <c r="R1" s="16"/>
      <c r="S1" s="16"/>
      <c r="T1" s="16"/>
      <c r="U1" s="16"/>
      <c r="V1" s="16"/>
      <c r="W1" s="16"/>
    </row>
    <row r="2" spans="1:64" ht="12" customHeight="1" x14ac:dyDescent="0.25">
      <c r="A2" s="1">
        <v>20</v>
      </c>
      <c r="B2" s="1">
        <v>71.14</v>
      </c>
      <c r="C2" s="1">
        <v>71.260000000000005</v>
      </c>
      <c r="D2" s="1">
        <v>71.180000000000007</v>
      </c>
      <c r="E2" s="1">
        <v>71.23</v>
      </c>
      <c r="F2" s="1">
        <v>71.430000000000007</v>
      </c>
      <c r="G2" s="1">
        <v>71.36</v>
      </c>
      <c r="H2" s="1">
        <v>71.47</v>
      </c>
      <c r="I2" s="1">
        <v>71.38</v>
      </c>
      <c r="J2" s="1">
        <v>71.97</v>
      </c>
      <c r="K2" s="1">
        <v>72.790000000000006</v>
      </c>
      <c r="L2" s="1">
        <v>73.37</v>
      </c>
      <c r="M2" s="1">
        <v>73.25</v>
      </c>
      <c r="N2" s="1">
        <v>72.760000000000005</v>
      </c>
      <c r="O2" s="1">
        <v>73.48</v>
      </c>
      <c r="P2" s="1">
        <v>73.34</v>
      </c>
      <c r="Q2" s="1">
        <v>73.239999999999995</v>
      </c>
      <c r="R2" s="1">
        <v>73.36</v>
      </c>
      <c r="S2" s="4">
        <v>71.989999999999995</v>
      </c>
      <c r="T2" s="4">
        <v>73.8</v>
      </c>
      <c r="U2" s="4">
        <v>72.86</v>
      </c>
      <c r="V2" s="4">
        <v>73.19</v>
      </c>
      <c r="W2" s="4">
        <v>73.319999999999993</v>
      </c>
      <c r="X2" s="4">
        <v>73.47</v>
      </c>
      <c r="Y2" s="4">
        <v>73.099999999999994</v>
      </c>
      <c r="Z2" s="4">
        <v>73.69</v>
      </c>
      <c r="AA2" s="4">
        <v>73.739999999999995</v>
      </c>
      <c r="AB2" s="4">
        <v>73.78</v>
      </c>
      <c r="AC2" s="2">
        <v>72.55</v>
      </c>
      <c r="AD2" s="2">
        <v>72.13</v>
      </c>
      <c r="AE2" s="2">
        <v>71.97</v>
      </c>
      <c r="AF2" s="2">
        <v>72.760000000000005</v>
      </c>
      <c r="AG2" s="2">
        <v>72.77</v>
      </c>
      <c r="AH2" s="2">
        <v>72.77</v>
      </c>
      <c r="AI2" s="2">
        <v>72.209999999999994</v>
      </c>
      <c r="AJ2" s="2">
        <v>72.39</v>
      </c>
      <c r="AK2" s="2">
        <v>72.209999999999994</v>
      </c>
      <c r="AL2" s="2">
        <v>71.489999999999995</v>
      </c>
      <c r="AM2" s="2">
        <v>71.8</v>
      </c>
      <c r="AN2" s="2">
        <v>71.680000000000007</v>
      </c>
      <c r="AO2" s="2">
        <v>71.849999999999994</v>
      </c>
      <c r="AP2" s="2">
        <v>71.930000000000007</v>
      </c>
      <c r="AQ2" s="2">
        <v>71.75</v>
      </c>
      <c r="AR2" s="2">
        <v>71.459999999999994</v>
      </c>
      <c r="AS2" s="2">
        <v>71.72</v>
      </c>
      <c r="AT2" s="2">
        <v>71.92</v>
      </c>
      <c r="AU2" s="3">
        <v>73.34</v>
      </c>
      <c r="AV2" s="3">
        <v>73.14</v>
      </c>
      <c r="AW2" s="3">
        <v>73.319999999999993</v>
      </c>
      <c r="AX2" s="3">
        <v>73.290000000000006</v>
      </c>
      <c r="AY2" s="3">
        <v>73.37</v>
      </c>
      <c r="AZ2" s="3">
        <v>73.34</v>
      </c>
      <c r="BA2" s="3">
        <v>73.069999999999993</v>
      </c>
      <c r="BB2" s="3">
        <v>73.2</v>
      </c>
      <c r="BC2" s="3">
        <v>73.180000000000007</v>
      </c>
      <c r="BD2" s="3">
        <v>73.27</v>
      </c>
    </row>
    <row r="3" spans="1:64" x14ac:dyDescent="0.25">
      <c r="A3" s="1">
        <v>25</v>
      </c>
      <c r="B3" s="1">
        <v>70.44</v>
      </c>
      <c r="C3" s="1">
        <v>70.959999999999994</v>
      </c>
      <c r="D3" s="1">
        <v>70.58</v>
      </c>
      <c r="E3" s="1">
        <v>70.47</v>
      </c>
      <c r="F3" s="1">
        <v>70.37</v>
      </c>
      <c r="G3" s="1">
        <v>70.87</v>
      </c>
      <c r="H3" s="1">
        <v>70.33</v>
      </c>
      <c r="I3" s="1">
        <v>70.42</v>
      </c>
      <c r="J3" s="1">
        <v>70.209999999999994</v>
      </c>
      <c r="K3" s="1">
        <v>71.63</v>
      </c>
      <c r="L3" s="1">
        <v>72.22</v>
      </c>
      <c r="M3" s="1">
        <v>72.25</v>
      </c>
      <c r="N3" s="1">
        <v>73.099999999999994</v>
      </c>
      <c r="O3" s="1">
        <v>72.73</v>
      </c>
      <c r="P3" s="1">
        <v>73.459999999999994</v>
      </c>
      <c r="Q3" s="1">
        <v>73.489999999999995</v>
      </c>
      <c r="R3" s="1">
        <v>73.55</v>
      </c>
      <c r="S3" s="1">
        <v>72.73</v>
      </c>
      <c r="T3" s="4">
        <v>71.98</v>
      </c>
      <c r="U3" s="4">
        <v>72.69</v>
      </c>
      <c r="V3" s="4">
        <v>73.11</v>
      </c>
      <c r="W3" s="4">
        <v>73.16</v>
      </c>
      <c r="X3" s="4">
        <v>73</v>
      </c>
      <c r="Y3" s="4">
        <v>73.2</v>
      </c>
      <c r="Z3" s="4">
        <v>73.37</v>
      </c>
      <c r="AA3" s="4">
        <v>73.44</v>
      </c>
      <c r="AB3" s="4">
        <v>73.16</v>
      </c>
      <c r="AC3" s="2">
        <v>71.05</v>
      </c>
      <c r="AD3" s="2">
        <v>72.69</v>
      </c>
      <c r="AE3" s="2">
        <v>72.099999999999994</v>
      </c>
      <c r="AF3" s="2">
        <v>72.47</v>
      </c>
      <c r="AG3" s="2">
        <v>72.33</v>
      </c>
      <c r="AH3" s="2">
        <v>71.47</v>
      </c>
      <c r="AI3" s="2">
        <v>71.3</v>
      </c>
      <c r="AJ3" s="2">
        <v>71.38</v>
      </c>
      <c r="AK3" s="2">
        <v>71.7</v>
      </c>
      <c r="AL3" s="2">
        <v>71.739999999999995</v>
      </c>
      <c r="AM3" s="2">
        <v>71.94</v>
      </c>
      <c r="AN3" s="2">
        <v>71.459999999999994</v>
      </c>
      <c r="AO3" s="2">
        <v>71.680000000000007</v>
      </c>
      <c r="AP3" s="2">
        <v>71.53</v>
      </c>
      <c r="AQ3" s="2">
        <v>71.510000000000005</v>
      </c>
      <c r="AR3" s="2">
        <v>71.31</v>
      </c>
      <c r="AS3" s="2">
        <v>71.67</v>
      </c>
      <c r="AT3" s="2">
        <v>71.58</v>
      </c>
      <c r="AU3" s="3">
        <v>72.09</v>
      </c>
      <c r="AV3" s="3">
        <v>72.45</v>
      </c>
      <c r="AW3" s="3">
        <v>72.459999999999994</v>
      </c>
      <c r="AX3" s="3">
        <v>72.430000000000007</v>
      </c>
      <c r="AY3" s="3">
        <v>72.459999999999994</v>
      </c>
      <c r="AZ3" s="3">
        <v>72.36</v>
      </c>
      <c r="BA3" s="3">
        <v>72.489999999999995</v>
      </c>
      <c r="BB3" s="3">
        <v>72.260000000000005</v>
      </c>
      <c r="BC3" s="3">
        <v>72.239999999999995</v>
      </c>
    </row>
    <row r="4" spans="1:64" x14ac:dyDescent="0.25">
      <c r="A4" s="1">
        <v>30</v>
      </c>
      <c r="B4" s="13">
        <v>68.23</v>
      </c>
      <c r="C4" s="13">
        <v>68.52</v>
      </c>
      <c r="D4" s="13">
        <v>68.739999999999995</v>
      </c>
      <c r="E4" s="13">
        <v>68.760000000000005</v>
      </c>
      <c r="F4" s="13">
        <v>68.599999999999994</v>
      </c>
      <c r="G4" s="13">
        <v>68.680000000000007</v>
      </c>
      <c r="H4" s="13">
        <v>68.760000000000005</v>
      </c>
      <c r="I4" s="13">
        <v>68.7</v>
      </c>
      <c r="J4" s="13">
        <v>68.73</v>
      </c>
      <c r="K4" s="1">
        <v>71.650000000000006</v>
      </c>
      <c r="L4" s="1">
        <v>71.069999999999993</v>
      </c>
      <c r="M4" s="1">
        <v>70.97</v>
      </c>
      <c r="N4" s="1">
        <v>71.12</v>
      </c>
      <c r="O4" s="1">
        <v>71.06</v>
      </c>
      <c r="P4" s="1">
        <v>71.150000000000006</v>
      </c>
      <c r="Q4" s="1">
        <v>71.09</v>
      </c>
      <c r="R4" s="1">
        <v>71.13</v>
      </c>
      <c r="S4" s="1">
        <v>71.92</v>
      </c>
      <c r="T4" s="14">
        <v>72.989999999999995</v>
      </c>
      <c r="U4" s="4">
        <v>72.33</v>
      </c>
      <c r="V4" s="14">
        <v>72.66</v>
      </c>
      <c r="W4" s="4">
        <v>71.88</v>
      </c>
      <c r="X4" s="4">
        <v>71.77</v>
      </c>
      <c r="Y4" s="4">
        <v>71.739999999999995</v>
      </c>
      <c r="Z4" s="4">
        <v>71.87</v>
      </c>
      <c r="AA4" s="4">
        <v>72.13</v>
      </c>
      <c r="AB4" s="4">
        <v>71.95</v>
      </c>
      <c r="AC4" s="4">
        <v>71.34</v>
      </c>
      <c r="AD4" s="4">
        <v>71.2</v>
      </c>
      <c r="AE4" s="4">
        <v>71.47</v>
      </c>
      <c r="AF4" s="4">
        <v>71.47</v>
      </c>
      <c r="AG4" s="2">
        <v>71.48</v>
      </c>
      <c r="AH4" s="2">
        <v>71.12</v>
      </c>
      <c r="AI4" s="2">
        <v>71.64</v>
      </c>
      <c r="AJ4" s="2">
        <v>71.790000000000006</v>
      </c>
      <c r="AK4" s="2">
        <v>71.319999999999993</v>
      </c>
      <c r="AL4" s="2">
        <v>71.319999999999993</v>
      </c>
      <c r="AM4" s="2">
        <v>71.37</v>
      </c>
      <c r="AN4" s="2">
        <v>71.599999999999994</v>
      </c>
      <c r="AO4" s="2">
        <v>71.22</v>
      </c>
      <c r="AP4" s="2">
        <v>71.650000000000006</v>
      </c>
      <c r="AQ4" s="2">
        <v>71.489999999999995</v>
      </c>
      <c r="AR4" s="2">
        <v>70.849999999999994</v>
      </c>
      <c r="AS4" s="2">
        <v>70.95</v>
      </c>
      <c r="AT4" s="2">
        <v>71.260000000000005</v>
      </c>
      <c r="AU4" s="2">
        <v>70.58</v>
      </c>
      <c r="AV4" s="2">
        <v>70.45</v>
      </c>
      <c r="AW4" s="2">
        <v>70.7</v>
      </c>
      <c r="AX4" s="2">
        <v>70.59</v>
      </c>
      <c r="AY4" s="2">
        <v>70.83</v>
      </c>
      <c r="AZ4" s="2">
        <v>70.98</v>
      </c>
      <c r="BA4" s="2">
        <v>71.650000000000006</v>
      </c>
      <c r="BB4" s="2">
        <v>71.489999999999995</v>
      </c>
      <c r="BC4" s="3">
        <v>71.27</v>
      </c>
      <c r="BD4" s="3">
        <v>71.290000000000006</v>
      </c>
      <c r="BE4" s="3">
        <v>71.31</v>
      </c>
      <c r="BF4" s="3">
        <v>71.23</v>
      </c>
      <c r="BG4" s="3">
        <v>71.3</v>
      </c>
      <c r="BH4" s="3">
        <v>71.31</v>
      </c>
      <c r="BI4" s="3">
        <v>71.25</v>
      </c>
      <c r="BJ4" s="3">
        <v>71.28</v>
      </c>
      <c r="BK4" s="3">
        <v>71.260000000000005</v>
      </c>
      <c r="BL4" s="3">
        <v>71.41</v>
      </c>
    </row>
    <row r="5" spans="1:64" x14ac:dyDescent="0.25">
      <c r="A5" s="1">
        <v>35</v>
      </c>
      <c r="B5" s="13">
        <v>67.28</v>
      </c>
      <c r="C5" s="13">
        <v>67.19</v>
      </c>
      <c r="D5" s="13">
        <v>67.27</v>
      </c>
      <c r="E5" s="13">
        <v>67.150000000000006</v>
      </c>
      <c r="F5" s="13">
        <v>66.819999999999993</v>
      </c>
      <c r="G5" s="13">
        <v>66.97</v>
      </c>
      <c r="H5" s="13">
        <v>67.290000000000006</v>
      </c>
      <c r="I5" s="13">
        <v>67.319999999999993</v>
      </c>
      <c r="J5" s="13">
        <v>67.900000000000006</v>
      </c>
      <c r="K5" s="1">
        <v>70.84</v>
      </c>
      <c r="L5" s="1">
        <v>70.14</v>
      </c>
      <c r="M5" s="1">
        <v>70.27</v>
      </c>
      <c r="N5" s="1">
        <v>70.349999999999994</v>
      </c>
      <c r="O5" s="1">
        <v>70.39</v>
      </c>
      <c r="P5" s="1">
        <v>70.19</v>
      </c>
      <c r="Q5" s="1">
        <v>70.489999999999995</v>
      </c>
      <c r="R5">
        <v>70.33</v>
      </c>
      <c r="S5" s="4">
        <v>70.959999999999994</v>
      </c>
      <c r="T5" s="4">
        <v>71.239999999999995</v>
      </c>
      <c r="U5" s="4">
        <v>70.959999999999994</v>
      </c>
      <c r="V5" s="4">
        <v>70.900000000000006</v>
      </c>
      <c r="W5" s="4">
        <v>70.680000000000007</v>
      </c>
      <c r="X5" s="4">
        <v>70.400000000000006</v>
      </c>
      <c r="Y5" s="4">
        <v>70.38</v>
      </c>
      <c r="Z5" s="4">
        <v>70.37</v>
      </c>
      <c r="AA5" s="4">
        <v>70.400000000000006</v>
      </c>
      <c r="AB5">
        <v>71.17</v>
      </c>
      <c r="AC5" s="4">
        <v>71.38</v>
      </c>
      <c r="AD5" s="4">
        <v>71.36</v>
      </c>
      <c r="AE5" s="4">
        <v>70.87</v>
      </c>
      <c r="AF5" s="2">
        <v>70.36</v>
      </c>
      <c r="AG5" s="2">
        <v>70.489999999999995</v>
      </c>
      <c r="AH5" s="2">
        <v>70.069999999999993</v>
      </c>
      <c r="AI5" s="2">
        <v>70.64</v>
      </c>
      <c r="AJ5" s="2">
        <v>70.23</v>
      </c>
      <c r="AK5" s="2">
        <v>70.3</v>
      </c>
      <c r="AL5" s="2">
        <v>69.95</v>
      </c>
      <c r="AM5" s="2">
        <v>70.55</v>
      </c>
      <c r="AN5" s="2">
        <v>69.97</v>
      </c>
      <c r="AO5" s="2">
        <v>70.41</v>
      </c>
      <c r="AP5" s="2">
        <v>70.38</v>
      </c>
      <c r="AQ5" s="2">
        <v>70.55</v>
      </c>
      <c r="AR5" s="2">
        <v>70.59</v>
      </c>
      <c r="AS5" s="2">
        <v>70.52</v>
      </c>
      <c r="AT5" s="2">
        <v>69.760000000000005</v>
      </c>
      <c r="AU5" s="2">
        <v>69.88</v>
      </c>
      <c r="AV5" s="2">
        <v>69.739999999999995</v>
      </c>
      <c r="AW5" s="2">
        <v>70.16</v>
      </c>
      <c r="AX5" s="2">
        <v>69.64</v>
      </c>
      <c r="AY5" s="3">
        <v>70.87</v>
      </c>
      <c r="AZ5" s="3">
        <v>70.58</v>
      </c>
      <c r="BA5" s="3">
        <v>70.56</v>
      </c>
      <c r="BB5" s="3">
        <v>70.599999999999994</v>
      </c>
      <c r="BC5" s="3">
        <v>70.31</v>
      </c>
      <c r="BD5" s="3">
        <v>70.48</v>
      </c>
      <c r="BE5" s="3">
        <v>70.48</v>
      </c>
      <c r="BF5" s="3">
        <v>70.39</v>
      </c>
      <c r="BG5" s="7">
        <v>71.459999999999994</v>
      </c>
      <c r="BH5" s="3">
        <v>70.56</v>
      </c>
    </row>
    <row r="8" spans="1:64" x14ac:dyDescent="0.25">
      <c r="A8" s="10"/>
      <c r="B8" s="1">
        <v>71.14</v>
      </c>
      <c r="C8" s="1">
        <v>70.209999999999994</v>
      </c>
      <c r="D8" s="11">
        <v>68.23</v>
      </c>
      <c r="E8" s="11">
        <v>67.19</v>
      </c>
      <c r="F8" s="10"/>
      <c r="G8" s="10">
        <v>20</v>
      </c>
      <c r="H8" s="10"/>
      <c r="I8" s="10"/>
      <c r="O8" s="1">
        <v>30</v>
      </c>
    </row>
    <row r="9" spans="1:64" x14ac:dyDescent="0.25">
      <c r="B9" s="1">
        <v>71.180000000000007</v>
      </c>
      <c r="C9" s="1">
        <v>70.33</v>
      </c>
      <c r="D9" s="11">
        <v>68.52</v>
      </c>
      <c r="E9" s="11">
        <v>66.819999999999993</v>
      </c>
    </row>
    <row r="10" spans="1:64" x14ac:dyDescent="0.25">
      <c r="B10" s="1">
        <v>71.23</v>
      </c>
      <c r="C10" s="1">
        <v>70.37</v>
      </c>
      <c r="D10" s="11">
        <v>68.599999999999994</v>
      </c>
      <c r="E10" s="11">
        <v>66.97</v>
      </c>
    </row>
    <row r="11" spans="1:64" x14ac:dyDescent="0.25">
      <c r="B11" s="1">
        <v>71.260000000000005</v>
      </c>
      <c r="C11" s="1">
        <v>70.42</v>
      </c>
      <c r="D11" s="11">
        <v>68.680000000000007</v>
      </c>
      <c r="E11" s="11">
        <v>67.150000000000006</v>
      </c>
    </row>
    <row r="12" spans="1:64" x14ac:dyDescent="0.25">
      <c r="B12" s="1">
        <v>71.36</v>
      </c>
      <c r="C12" s="1">
        <v>70.44</v>
      </c>
      <c r="D12" s="11">
        <v>68.7</v>
      </c>
      <c r="E12" s="11">
        <v>67.27</v>
      </c>
    </row>
    <row r="13" spans="1:64" x14ac:dyDescent="0.25">
      <c r="B13" s="1">
        <v>71.38</v>
      </c>
      <c r="C13" s="1">
        <v>70.47</v>
      </c>
      <c r="D13" s="11">
        <v>68.73</v>
      </c>
      <c r="E13" s="11">
        <v>67.28</v>
      </c>
    </row>
    <row r="14" spans="1:64" x14ac:dyDescent="0.25">
      <c r="B14" s="1">
        <v>71.430000000000007</v>
      </c>
      <c r="C14" s="1">
        <v>70.58</v>
      </c>
      <c r="D14" s="11">
        <v>68.739999999999995</v>
      </c>
      <c r="E14" s="11">
        <v>67.319999999999993</v>
      </c>
    </row>
    <row r="15" spans="1:64" x14ac:dyDescent="0.25">
      <c r="A15" s="10"/>
      <c r="B15" s="2">
        <v>71.459999999999994</v>
      </c>
      <c r="C15" s="1">
        <v>70.87</v>
      </c>
      <c r="D15" s="11">
        <v>68.760000000000005</v>
      </c>
      <c r="E15" s="11">
        <v>67.900000000000006</v>
      </c>
      <c r="F15" s="10"/>
      <c r="G15" s="10"/>
      <c r="H15" s="10"/>
      <c r="I15" s="10"/>
      <c r="Q15" s="17"/>
      <c r="R15" s="17"/>
      <c r="S15" s="17"/>
      <c r="T15" s="17"/>
      <c r="U15" s="17"/>
      <c r="V15" s="17"/>
      <c r="W15" s="17"/>
      <c r="X15" s="17"/>
      <c r="Y15" s="17"/>
    </row>
    <row r="16" spans="1:64" x14ac:dyDescent="0.25">
      <c r="B16" s="1">
        <v>71.47</v>
      </c>
      <c r="C16" s="1">
        <v>70.959999999999994</v>
      </c>
      <c r="D16" s="11">
        <v>68.760000000000005</v>
      </c>
      <c r="E16" s="2">
        <v>69.64</v>
      </c>
    </row>
    <row r="17" spans="1:15" x14ac:dyDescent="0.25">
      <c r="B17" s="2">
        <v>71.489999999999995</v>
      </c>
      <c r="C17" s="2">
        <v>71.05</v>
      </c>
      <c r="D17" s="2">
        <v>70.45</v>
      </c>
      <c r="E17" s="2">
        <v>69.739999999999995</v>
      </c>
    </row>
    <row r="18" spans="1:15" x14ac:dyDescent="0.25">
      <c r="B18" s="2">
        <v>71.680000000000007</v>
      </c>
      <c r="C18" s="2">
        <v>71.3</v>
      </c>
      <c r="D18" s="2">
        <v>70.58</v>
      </c>
      <c r="E18" s="2">
        <v>69.760000000000005</v>
      </c>
    </row>
    <row r="19" spans="1:15" x14ac:dyDescent="0.25">
      <c r="B19" s="2">
        <v>71.72</v>
      </c>
      <c r="C19" s="2">
        <v>71.31</v>
      </c>
      <c r="D19" s="2">
        <v>70.59</v>
      </c>
      <c r="E19" s="2">
        <v>69.88</v>
      </c>
      <c r="G19" s="2">
        <v>25</v>
      </c>
      <c r="O19">
        <v>35</v>
      </c>
    </row>
    <row r="20" spans="1:15" x14ac:dyDescent="0.25">
      <c r="B20" s="2">
        <v>71.75</v>
      </c>
      <c r="C20" s="2">
        <v>71.38</v>
      </c>
      <c r="D20" s="2">
        <v>70.7</v>
      </c>
      <c r="E20" s="2">
        <v>69.95</v>
      </c>
    </row>
    <row r="21" spans="1:15" x14ac:dyDescent="0.25">
      <c r="B21" s="2">
        <v>71.8</v>
      </c>
      <c r="C21" s="2">
        <v>71.459999999999994</v>
      </c>
      <c r="D21" s="2">
        <v>70.83</v>
      </c>
      <c r="E21" s="2">
        <v>69.97</v>
      </c>
    </row>
    <row r="22" spans="1:15" x14ac:dyDescent="0.25">
      <c r="B22" s="2">
        <v>71.849999999999994</v>
      </c>
      <c r="C22" s="2">
        <v>71.47</v>
      </c>
      <c r="D22" s="2">
        <v>70.849999999999994</v>
      </c>
      <c r="E22" s="2">
        <v>70.069999999999993</v>
      </c>
    </row>
    <row r="23" spans="1:15" x14ac:dyDescent="0.25">
      <c r="A23" s="10"/>
      <c r="B23" s="2">
        <v>71.92</v>
      </c>
      <c r="C23" s="2">
        <v>71.510000000000005</v>
      </c>
      <c r="D23" s="2">
        <v>70.95</v>
      </c>
      <c r="E23" s="1">
        <v>70.14</v>
      </c>
      <c r="F23" s="10"/>
      <c r="G23" s="10"/>
      <c r="H23" s="10"/>
      <c r="I23" s="10"/>
    </row>
    <row r="24" spans="1:15" x14ac:dyDescent="0.25">
      <c r="B24" s="2">
        <v>71.930000000000007</v>
      </c>
      <c r="C24" s="2">
        <v>71.53</v>
      </c>
      <c r="D24" s="1">
        <v>70.97</v>
      </c>
      <c r="E24" s="2">
        <v>70.16</v>
      </c>
    </row>
    <row r="25" spans="1:15" x14ac:dyDescent="0.25">
      <c r="B25" s="1">
        <v>71.97</v>
      </c>
      <c r="C25" s="2">
        <v>71.58</v>
      </c>
      <c r="D25" s="2">
        <v>70.98</v>
      </c>
      <c r="E25" s="1">
        <v>70.19</v>
      </c>
    </row>
    <row r="26" spans="1:15" x14ac:dyDescent="0.25">
      <c r="B26" s="2">
        <v>71.97</v>
      </c>
      <c r="C26" s="1">
        <v>71.63</v>
      </c>
      <c r="D26" s="1">
        <v>71.06</v>
      </c>
      <c r="E26" s="2">
        <v>70.23</v>
      </c>
    </row>
    <row r="27" spans="1:15" x14ac:dyDescent="0.25">
      <c r="B27" s="4">
        <v>71.989999999999995</v>
      </c>
      <c r="C27" s="2">
        <v>71.67</v>
      </c>
      <c r="D27" s="1">
        <v>71.069999999999993</v>
      </c>
      <c r="E27" s="1">
        <v>70.27</v>
      </c>
    </row>
    <row r="28" spans="1:15" x14ac:dyDescent="0.25">
      <c r="B28" s="2">
        <v>72.13</v>
      </c>
      <c r="C28" s="2">
        <v>71.680000000000007</v>
      </c>
      <c r="D28" s="1">
        <v>71.09</v>
      </c>
      <c r="E28" s="2">
        <v>70.3</v>
      </c>
    </row>
    <row r="29" spans="1:15" x14ac:dyDescent="0.25">
      <c r="B29" s="2">
        <v>72.209999999999994</v>
      </c>
      <c r="C29" s="2">
        <v>71.7</v>
      </c>
      <c r="D29" s="1">
        <v>71.12</v>
      </c>
      <c r="E29" s="3">
        <v>70.31</v>
      </c>
    </row>
    <row r="30" spans="1:15" x14ac:dyDescent="0.25">
      <c r="B30" s="2">
        <v>72.209999999999994</v>
      </c>
      <c r="C30" s="2">
        <v>71.739999999999995</v>
      </c>
      <c r="D30" s="2">
        <v>71.12</v>
      </c>
      <c r="E30">
        <v>70.33</v>
      </c>
    </row>
    <row r="31" spans="1:15" x14ac:dyDescent="0.25">
      <c r="B31" s="2">
        <v>72.39</v>
      </c>
      <c r="C31" s="2">
        <v>71.94</v>
      </c>
      <c r="D31" s="1">
        <v>71.13</v>
      </c>
      <c r="E31" s="1">
        <v>70.349999999999994</v>
      </c>
    </row>
    <row r="32" spans="1:15" x14ac:dyDescent="0.25">
      <c r="B32" s="2">
        <v>72.55</v>
      </c>
      <c r="C32" s="4">
        <v>71.98</v>
      </c>
      <c r="D32" s="1">
        <v>71.150000000000006</v>
      </c>
      <c r="E32" s="2">
        <v>70.36</v>
      </c>
      <c r="I32" t="s">
        <v>7</v>
      </c>
    </row>
    <row r="33" spans="2:20" x14ac:dyDescent="0.25">
      <c r="B33" s="1">
        <v>72.760000000000005</v>
      </c>
      <c r="C33" s="3">
        <v>72.09</v>
      </c>
      <c r="D33" s="4">
        <v>71.2</v>
      </c>
      <c r="E33" s="4">
        <v>70.37</v>
      </c>
    </row>
    <row r="34" spans="2:20" x14ac:dyDescent="0.25">
      <c r="B34" s="2">
        <v>72.760000000000005</v>
      </c>
      <c r="C34" s="2">
        <v>72.099999999999994</v>
      </c>
      <c r="D34" s="2">
        <v>71.22</v>
      </c>
      <c r="E34" s="4">
        <v>70.38</v>
      </c>
      <c r="I34">
        <v>25</v>
      </c>
      <c r="J34">
        <v>70.98</v>
      </c>
      <c r="K34">
        <v>71.25</v>
      </c>
      <c r="L34">
        <v>71.260000000000005</v>
      </c>
      <c r="M34">
        <v>71.14</v>
      </c>
      <c r="N34">
        <v>71.3</v>
      </c>
      <c r="O34">
        <v>71.209999999999994</v>
      </c>
      <c r="P34">
        <v>71.400000000000006</v>
      </c>
      <c r="Q34">
        <v>71.38</v>
      </c>
      <c r="R34">
        <v>70.8</v>
      </c>
      <c r="S34">
        <v>71.459999999999994</v>
      </c>
      <c r="T34">
        <v>71.45</v>
      </c>
    </row>
    <row r="35" spans="2:20" x14ac:dyDescent="0.25">
      <c r="B35" s="2">
        <v>72.77</v>
      </c>
      <c r="C35" s="1">
        <v>72.22</v>
      </c>
      <c r="D35" s="3">
        <v>71.23</v>
      </c>
      <c r="E35" s="2">
        <v>70.38</v>
      </c>
      <c r="I35">
        <v>30</v>
      </c>
      <c r="J35">
        <v>70.95</v>
      </c>
      <c r="K35">
        <v>71.349999999999994</v>
      </c>
      <c r="L35">
        <v>70.930000000000007</v>
      </c>
      <c r="M35">
        <v>70.91</v>
      </c>
      <c r="N35">
        <v>70.319999999999993</v>
      </c>
      <c r="O35">
        <v>70.95</v>
      </c>
      <c r="P35">
        <v>70.39</v>
      </c>
      <c r="Q35">
        <v>70.256</v>
      </c>
      <c r="R35">
        <v>70.400000000000006</v>
      </c>
    </row>
    <row r="36" spans="2:20" x14ac:dyDescent="0.25">
      <c r="B36" s="2">
        <v>72.77</v>
      </c>
      <c r="C36" s="3">
        <v>72.239999999999995</v>
      </c>
      <c r="D36" s="3">
        <v>71.25</v>
      </c>
      <c r="E36" s="1">
        <v>70.39</v>
      </c>
      <c r="I36">
        <v>35</v>
      </c>
      <c r="J36">
        <v>69.86</v>
      </c>
      <c r="K36">
        <v>69.599999999999994</v>
      </c>
      <c r="L36">
        <v>70.48</v>
      </c>
      <c r="M36">
        <v>70.010000000000005</v>
      </c>
      <c r="N36">
        <v>70.05</v>
      </c>
      <c r="O36">
        <v>70.3</v>
      </c>
      <c r="P36">
        <v>69.8</v>
      </c>
      <c r="Q36">
        <v>69.97</v>
      </c>
      <c r="R36">
        <v>60.3</v>
      </c>
    </row>
    <row r="37" spans="2:20" x14ac:dyDescent="0.25">
      <c r="B37" s="1">
        <v>72.790000000000006</v>
      </c>
      <c r="C37" s="1">
        <v>72.25</v>
      </c>
      <c r="D37" s="2">
        <v>71.260000000000005</v>
      </c>
      <c r="E37" s="3">
        <v>70.39</v>
      </c>
    </row>
    <row r="38" spans="2:20" x14ac:dyDescent="0.25">
      <c r="B38" s="4">
        <v>72.86</v>
      </c>
      <c r="C38" s="3">
        <v>72.260000000000005</v>
      </c>
      <c r="D38" s="3">
        <v>71.260000000000005</v>
      </c>
      <c r="E38" s="4">
        <v>70.400000000000006</v>
      </c>
    </row>
    <row r="39" spans="2:20" x14ac:dyDescent="0.25">
      <c r="B39" s="3">
        <v>73.069999999999993</v>
      </c>
      <c r="C39" s="2">
        <v>72.33</v>
      </c>
      <c r="D39" s="3">
        <v>71.27</v>
      </c>
      <c r="E39" s="4">
        <v>70.400000000000006</v>
      </c>
    </row>
    <row r="40" spans="2:20" x14ac:dyDescent="0.25">
      <c r="B40" s="4">
        <v>73.099999999999994</v>
      </c>
      <c r="C40" s="3">
        <v>72.36</v>
      </c>
      <c r="D40" s="3">
        <v>71.28</v>
      </c>
      <c r="E40" s="2">
        <v>70.41</v>
      </c>
    </row>
    <row r="41" spans="2:20" x14ac:dyDescent="0.25">
      <c r="B41" s="3">
        <v>73.14</v>
      </c>
      <c r="C41" s="3">
        <v>72.430000000000007</v>
      </c>
      <c r="D41" s="3">
        <v>71.290000000000006</v>
      </c>
      <c r="E41" s="3">
        <v>70.48</v>
      </c>
    </row>
    <row r="42" spans="2:20" x14ac:dyDescent="0.25">
      <c r="B42" s="3">
        <v>73.180000000000007</v>
      </c>
      <c r="C42" s="3">
        <v>72.45</v>
      </c>
      <c r="D42" s="3">
        <v>71.3</v>
      </c>
      <c r="E42" s="3">
        <v>70.48</v>
      </c>
    </row>
    <row r="43" spans="2:20" x14ac:dyDescent="0.25">
      <c r="B43" s="4">
        <v>73.19</v>
      </c>
      <c r="C43" s="3">
        <v>72.459999999999994</v>
      </c>
      <c r="D43" s="3">
        <v>71.31</v>
      </c>
      <c r="E43" s="1">
        <v>70.489999999999995</v>
      </c>
    </row>
    <row r="44" spans="2:20" x14ac:dyDescent="0.25">
      <c r="B44" s="3">
        <v>73.2</v>
      </c>
      <c r="C44" s="3">
        <v>72.459999999999994</v>
      </c>
      <c r="D44" s="3">
        <v>71.31</v>
      </c>
      <c r="E44" s="2">
        <v>70.489999999999995</v>
      </c>
    </row>
    <row r="45" spans="2:20" x14ac:dyDescent="0.25">
      <c r="B45" s="1">
        <v>73.239999999999995</v>
      </c>
      <c r="C45" s="2">
        <v>72.47</v>
      </c>
      <c r="D45" s="2">
        <v>71.319999999999993</v>
      </c>
      <c r="E45" s="2">
        <v>70.52</v>
      </c>
    </row>
    <row r="46" spans="2:20" x14ac:dyDescent="0.25">
      <c r="B46" s="1">
        <v>73.25</v>
      </c>
      <c r="C46" s="3">
        <v>72.489999999999995</v>
      </c>
      <c r="D46" s="2">
        <v>71.319999999999993</v>
      </c>
      <c r="E46" s="2">
        <v>70.55</v>
      </c>
    </row>
    <row r="47" spans="2:20" x14ac:dyDescent="0.25">
      <c r="B47" s="3">
        <v>73.27</v>
      </c>
      <c r="C47" s="4">
        <v>72.69</v>
      </c>
      <c r="D47" s="4">
        <v>71.34</v>
      </c>
      <c r="E47" s="2">
        <v>70.55</v>
      </c>
    </row>
    <row r="48" spans="2:20" x14ac:dyDescent="0.25">
      <c r="B48" s="3">
        <v>73.290000000000006</v>
      </c>
      <c r="C48" s="2">
        <v>72.69</v>
      </c>
      <c r="D48" s="2">
        <v>71.37</v>
      </c>
      <c r="E48" s="3">
        <v>70.56</v>
      </c>
    </row>
    <row r="49" spans="2:5" x14ac:dyDescent="0.25">
      <c r="B49" s="4">
        <v>73.319999999999993</v>
      </c>
      <c r="C49" s="1">
        <v>72.73</v>
      </c>
      <c r="D49" s="3">
        <v>71.41</v>
      </c>
      <c r="E49" s="3">
        <v>70.56</v>
      </c>
    </row>
    <row r="50" spans="2:5" x14ac:dyDescent="0.25">
      <c r="B50" s="3">
        <v>73.319999999999993</v>
      </c>
      <c r="C50" s="1">
        <v>72.73</v>
      </c>
      <c r="D50" s="4">
        <v>71.47</v>
      </c>
      <c r="E50" s="3">
        <v>70.58</v>
      </c>
    </row>
    <row r="51" spans="2:5" x14ac:dyDescent="0.25">
      <c r="B51" s="1">
        <v>73.34</v>
      </c>
      <c r="C51" s="4">
        <v>73</v>
      </c>
      <c r="D51" s="4">
        <v>71.47</v>
      </c>
      <c r="E51" s="2">
        <v>70.59</v>
      </c>
    </row>
    <row r="52" spans="2:5" x14ac:dyDescent="0.25">
      <c r="B52" s="3">
        <v>73.34</v>
      </c>
      <c r="C52" s="1">
        <v>73.099999999999994</v>
      </c>
      <c r="D52" s="2">
        <v>71.48</v>
      </c>
      <c r="E52" s="3">
        <v>70.599999999999994</v>
      </c>
    </row>
    <row r="53" spans="2:5" x14ac:dyDescent="0.25">
      <c r="B53" s="3">
        <v>73.34</v>
      </c>
      <c r="C53" s="4">
        <v>73.11</v>
      </c>
      <c r="D53" s="2">
        <v>71.489999999999995</v>
      </c>
      <c r="E53" s="2">
        <v>70.64</v>
      </c>
    </row>
    <row r="54" spans="2:5" x14ac:dyDescent="0.25">
      <c r="B54" s="1">
        <v>73.36</v>
      </c>
      <c r="C54" s="4">
        <v>73.16</v>
      </c>
      <c r="D54" s="2">
        <v>71.489999999999995</v>
      </c>
      <c r="E54" s="4">
        <v>70.680000000000007</v>
      </c>
    </row>
    <row r="55" spans="2:5" x14ac:dyDescent="0.25">
      <c r="B55" s="1">
        <v>73.37</v>
      </c>
      <c r="C55" s="4">
        <v>73.16</v>
      </c>
      <c r="D55" s="2">
        <v>71.599999999999994</v>
      </c>
      <c r="E55" s="1">
        <v>70.84</v>
      </c>
    </row>
    <row r="56" spans="2:5" x14ac:dyDescent="0.25">
      <c r="B56" s="3">
        <v>73.37</v>
      </c>
      <c r="C56" s="4">
        <v>73.2</v>
      </c>
      <c r="D56" s="2">
        <v>71.64</v>
      </c>
      <c r="E56" s="4">
        <v>70.87</v>
      </c>
    </row>
    <row r="57" spans="2:5" x14ac:dyDescent="0.25">
      <c r="B57" s="4">
        <v>73.47</v>
      </c>
      <c r="C57" s="4">
        <v>73.37</v>
      </c>
      <c r="D57" s="1">
        <v>71.650000000000006</v>
      </c>
      <c r="E57" s="3">
        <v>70.87</v>
      </c>
    </row>
    <row r="58" spans="2:5" x14ac:dyDescent="0.25">
      <c r="B58" s="1">
        <v>73.48</v>
      </c>
      <c r="C58" s="4">
        <v>73.44</v>
      </c>
      <c r="D58" s="2">
        <v>71.650000000000006</v>
      </c>
      <c r="E58" s="4">
        <v>70.900000000000006</v>
      </c>
    </row>
    <row r="59" spans="2:5" x14ac:dyDescent="0.25">
      <c r="B59" s="4">
        <v>73.69</v>
      </c>
      <c r="C59" s="1">
        <v>73.459999999999994</v>
      </c>
      <c r="D59" s="2">
        <v>71.650000000000006</v>
      </c>
      <c r="E59" s="4">
        <v>70.959999999999994</v>
      </c>
    </row>
    <row r="60" spans="2:5" x14ac:dyDescent="0.25">
      <c r="B60" s="4">
        <v>73.739999999999995</v>
      </c>
      <c r="C60" s="1">
        <v>73.489999999999995</v>
      </c>
      <c r="D60" s="4">
        <v>71.739999999999995</v>
      </c>
      <c r="E60" s="4">
        <v>70.959999999999994</v>
      </c>
    </row>
    <row r="61" spans="2:5" x14ac:dyDescent="0.25">
      <c r="B61" s="4">
        <v>73.78</v>
      </c>
      <c r="C61" s="1">
        <v>73.55</v>
      </c>
      <c r="D61" s="4">
        <v>71.77</v>
      </c>
      <c r="E61">
        <v>71.17</v>
      </c>
    </row>
    <row r="62" spans="2:5" x14ac:dyDescent="0.25">
      <c r="B62" s="4">
        <v>73.8</v>
      </c>
      <c r="D62" s="2">
        <v>71.790000000000006</v>
      </c>
      <c r="E62" s="4">
        <v>71.239999999999995</v>
      </c>
    </row>
    <row r="63" spans="2:5" x14ac:dyDescent="0.25">
      <c r="D63" s="4">
        <v>71.87</v>
      </c>
      <c r="E63" s="4">
        <v>71.36</v>
      </c>
    </row>
    <row r="64" spans="2:5" x14ac:dyDescent="0.25">
      <c r="D64" s="4">
        <v>71.88</v>
      </c>
      <c r="E64" s="4">
        <v>71.38</v>
      </c>
    </row>
    <row r="65" spans="2:5" x14ac:dyDescent="0.25">
      <c r="D65" s="1">
        <v>71.92</v>
      </c>
      <c r="E65" s="7">
        <v>71.459999999999994</v>
      </c>
    </row>
    <row r="66" spans="2:5" x14ac:dyDescent="0.25">
      <c r="D66" s="4">
        <v>71.95</v>
      </c>
      <c r="E66" s="11">
        <v>67.290000000000006</v>
      </c>
    </row>
    <row r="67" spans="2:5" x14ac:dyDescent="0.25">
      <c r="D67" s="4">
        <v>72.13</v>
      </c>
    </row>
    <row r="68" spans="2:5" x14ac:dyDescent="0.25">
      <c r="D68" s="4">
        <v>72.33</v>
      </c>
    </row>
    <row r="69" spans="2:5" x14ac:dyDescent="0.25">
      <c r="D69" s="11">
        <v>72.66</v>
      </c>
    </row>
    <row r="70" spans="2:5" x14ac:dyDescent="0.25">
      <c r="D70" s="11">
        <v>72.989999999999995</v>
      </c>
    </row>
    <row r="72" spans="2:5" x14ac:dyDescent="0.25">
      <c r="B72">
        <f>AVERAGE(B8:B62)</f>
        <v>72.560545454545462</v>
      </c>
      <c r="C72">
        <f>AVERAGE(C8:C61)</f>
        <v>72.019814814814808</v>
      </c>
      <c r="D72">
        <f>AVERAGE(D17:D68)</f>
        <v>71.337499999999977</v>
      </c>
      <c r="E72">
        <f>AVERAGE(E16:E65)</f>
        <v>70.491000000000014</v>
      </c>
    </row>
    <row r="73" spans="2:5" x14ac:dyDescent="0.25">
      <c r="B73">
        <f>_xlfn.STDEV.S(B8:B62)</f>
        <v>0.83004109265036718</v>
      </c>
      <c r="C73">
        <f>_xlfn.STDEV.S(C8:C61)</f>
        <v>0.93473332033994505</v>
      </c>
      <c r="D73">
        <f>_xlfn.STDEV.S(D17:D68)</f>
        <v>0.38896481518381587</v>
      </c>
    </row>
    <row r="77" spans="2:5" x14ac:dyDescent="0.25">
      <c r="B77">
        <f>VAR(B8:B62)</f>
        <v>0.68896821548821541</v>
      </c>
      <c r="C77">
        <f>VAR(C8:C61)</f>
        <v>0.87372638015373838</v>
      </c>
      <c r="D77">
        <f>VAR(D17:D68)</f>
        <v>0.15129362745098004</v>
      </c>
      <c r="E77">
        <f>VAR(E16:E65)</f>
        <v>0.16776428571428553</v>
      </c>
    </row>
  </sheetData>
  <sortState xmlns:xlrd2="http://schemas.microsoft.com/office/spreadsheetml/2017/richdata2" ref="E8:E66">
    <sortCondition ref="E8"/>
  </sortState>
  <mergeCells count="3">
    <mergeCell ref="A1:I1"/>
    <mergeCell ref="Q15:Y15"/>
    <mergeCell ref="O1:W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64"/>
  <sheetViews>
    <sheetView topLeftCell="A58" workbookViewId="0">
      <selection activeCell="J4" sqref="J4"/>
    </sheetView>
  </sheetViews>
  <sheetFormatPr baseColWidth="10" defaultColWidth="9.140625" defaultRowHeight="15" x14ac:dyDescent="0.25"/>
  <sheetData>
    <row r="1" spans="1:55" x14ac:dyDescent="0.25">
      <c r="A1" s="16"/>
      <c r="B1" s="16"/>
      <c r="C1" s="16"/>
      <c r="D1" s="16"/>
      <c r="E1" s="16"/>
      <c r="F1" s="16"/>
      <c r="G1" s="16"/>
      <c r="H1" s="16"/>
      <c r="I1" s="16"/>
      <c r="N1" s="16"/>
      <c r="O1" s="16"/>
      <c r="P1" s="16"/>
      <c r="Q1" s="16"/>
      <c r="R1" s="16"/>
      <c r="S1" s="16"/>
      <c r="T1" s="16"/>
      <c r="U1" s="16"/>
      <c r="V1" s="16"/>
    </row>
    <row r="2" spans="1:55" x14ac:dyDescent="0.25">
      <c r="A2" s="1">
        <v>20</v>
      </c>
      <c r="B2" s="1">
        <v>74.61</v>
      </c>
      <c r="C2" s="1">
        <v>74.62</v>
      </c>
      <c r="D2" s="1">
        <v>74.69</v>
      </c>
      <c r="E2" s="1">
        <v>74.06</v>
      </c>
      <c r="F2" s="1">
        <v>73.81</v>
      </c>
      <c r="G2" s="1">
        <v>74.28</v>
      </c>
      <c r="H2" s="1">
        <v>73.98</v>
      </c>
      <c r="I2" s="1">
        <v>74.67</v>
      </c>
      <c r="J2" s="1">
        <v>73.94</v>
      </c>
      <c r="K2" s="1">
        <v>73.739999999999995</v>
      </c>
      <c r="L2" s="1">
        <v>74</v>
      </c>
      <c r="M2" s="1">
        <v>74.14</v>
      </c>
      <c r="N2" s="1">
        <v>74.180000000000007</v>
      </c>
      <c r="O2" s="1">
        <v>74</v>
      </c>
      <c r="P2" s="1">
        <v>74.17</v>
      </c>
      <c r="Q2" s="1">
        <v>73.97</v>
      </c>
      <c r="R2" s="1">
        <v>73.81</v>
      </c>
      <c r="S2" s="1">
        <v>74.150000000000006</v>
      </c>
      <c r="T2" s="4">
        <v>74.239999999999995</v>
      </c>
      <c r="U2" s="4">
        <v>74.430000000000007</v>
      </c>
      <c r="V2" s="4">
        <v>74.010000000000005</v>
      </c>
      <c r="W2" s="4">
        <v>74.459999999999994</v>
      </c>
      <c r="X2" s="4">
        <v>75.37</v>
      </c>
      <c r="Y2" s="4">
        <v>75.27</v>
      </c>
      <c r="Z2" s="4">
        <v>75.27</v>
      </c>
      <c r="AA2" s="4">
        <v>74.099999999999994</v>
      </c>
      <c r="AB2" s="4">
        <v>74.19</v>
      </c>
      <c r="AC2" s="4">
        <v>74.28</v>
      </c>
      <c r="AD2" s="4">
        <v>74.12</v>
      </c>
      <c r="AE2" s="4">
        <v>74.17</v>
      </c>
      <c r="AF2" s="15">
        <v>72.33</v>
      </c>
      <c r="AG2" s="2">
        <v>73.23</v>
      </c>
      <c r="AH2" s="2">
        <v>73.55</v>
      </c>
      <c r="AI2" s="2">
        <v>73.67</v>
      </c>
      <c r="AJ2" s="2">
        <v>73.16</v>
      </c>
      <c r="AK2" s="2">
        <v>73.05</v>
      </c>
      <c r="AL2" s="2">
        <v>73.39</v>
      </c>
      <c r="AM2" s="2">
        <v>72.790000000000006</v>
      </c>
      <c r="AN2" s="2">
        <v>72.78</v>
      </c>
      <c r="AO2" s="3">
        <v>75.28</v>
      </c>
      <c r="AP2" s="3">
        <v>75.02</v>
      </c>
      <c r="AQ2" s="3">
        <v>74.87</v>
      </c>
      <c r="AR2" s="3">
        <v>74.930000000000007</v>
      </c>
      <c r="AS2" s="3">
        <v>74.83</v>
      </c>
      <c r="AT2" s="3">
        <v>74.650000000000006</v>
      </c>
      <c r="AU2" s="3">
        <v>74.7</v>
      </c>
      <c r="AV2" s="3">
        <v>74.7</v>
      </c>
      <c r="AW2" s="3">
        <v>74.599999999999994</v>
      </c>
    </row>
    <row r="3" spans="1:55" x14ac:dyDescent="0.25">
      <c r="A3" s="1">
        <v>25</v>
      </c>
      <c r="B3" s="1">
        <v>73.37</v>
      </c>
      <c r="C3" s="1">
        <v>73.86</v>
      </c>
      <c r="D3" s="1">
        <v>73.739999999999995</v>
      </c>
      <c r="E3" s="1">
        <v>73.83</v>
      </c>
      <c r="F3" s="1">
        <v>72.83</v>
      </c>
      <c r="G3" s="1">
        <v>73.16</v>
      </c>
      <c r="H3" s="1">
        <v>73.08</v>
      </c>
      <c r="I3" s="1">
        <v>73.16</v>
      </c>
      <c r="J3" s="1">
        <v>73.08</v>
      </c>
      <c r="K3" s="1">
        <v>72.760000000000005</v>
      </c>
      <c r="L3" s="1">
        <v>72.790000000000006</v>
      </c>
      <c r="M3" s="1">
        <v>72.69</v>
      </c>
      <c r="N3" s="1">
        <v>72.760000000000005</v>
      </c>
      <c r="O3" s="1">
        <v>72.69</v>
      </c>
      <c r="P3" s="1">
        <v>72.77</v>
      </c>
      <c r="Q3" s="1">
        <v>72.86</v>
      </c>
      <c r="R3" s="1">
        <v>72.760000000000005</v>
      </c>
      <c r="S3" s="1">
        <v>72.64</v>
      </c>
      <c r="T3" s="4">
        <v>74.44</v>
      </c>
      <c r="U3" s="4">
        <v>74.92</v>
      </c>
      <c r="V3" s="4">
        <v>74.430000000000007</v>
      </c>
      <c r="W3" s="4">
        <v>74.36</v>
      </c>
      <c r="X3" s="4">
        <v>73.91</v>
      </c>
      <c r="Y3" s="4">
        <v>74.03</v>
      </c>
      <c r="Z3" s="4">
        <v>74.150000000000006</v>
      </c>
      <c r="AA3" s="4">
        <v>74.150000000000006</v>
      </c>
      <c r="AB3" s="4">
        <v>73.849999999999994</v>
      </c>
      <c r="AC3" s="4">
        <v>73.55</v>
      </c>
      <c r="AD3" s="4">
        <v>73.55</v>
      </c>
      <c r="AE3" s="4">
        <v>73.010000000000005</v>
      </c>
      <c r="AF3" s="4">
        <v>73.55</v>
      </c>
      <c r="AG3" s="4">
        <v>74.760000000000005</v>
      </c>
      <c r="AH3" s="4">
        <v>74.86</v>
      </c>
      <c r="AI3" s="4">
        <v>74.59</v>
      </c>
      <c r="AJ3" s="4">
        <v>74.67</v>
      </c>
      <c r="AK3" s="4">
        <v>75.489999999999995</v>
      </c>
      <c r="AL3" s="2">
        <v>72.39</v>
      </c>
      <c r="AM3" s="2">
        <v>72.73</v>
      </c>
      <c r="AN3" s="2">
        <v>72.59</v>
      </c>
      <c r="AO3" s="2">
        <v>72.400000000000006</v>
      </c>
      <c r="AP3" s="2">
        <v>72.69</v>
      </c>
      <c r="AQ3" s="2">
        <v>72.819999999999993</v>
      </c>
      <c r="AR3" s="2">
        <v>72.67</v>
      </c>
      <c r="AS3" s="2">
        <v>72.87</v>
      </c>
      <c r="AT3" s="2">
        <v>72.489999999999995</v>
      </c>
      <c r="AU3" s="3">
        <v>72.53</v>
      </c>
      <c r="AV3" s="3">
        <v>73.28</v>
      </c>
      <c r="AW3" s="3">
        <v>73.22</v>
      </c>
      <c r="AX3" s="3">
        <v>73.22</v>
      </c>
      <c r="AY3" s="3">
        <v>73.11</v>
      </c>
      <c r="AZ3" s="3">
        <v>73.39</v>
      </c>
      <c r="BA3" s="3">
        <v>73.84</v>
      </c>
      <c r="BB3" s="3">
        <v>73.97</v>
      </c>
      <c r="BC3" s="3">
        <v>73.959999999999994</v>
      </c>
    </row>
    <row r="4" spans="1:55" x14ac:dyDescent="0.25">
      <c r="A4" s="1">
        <v>30</v>
      </c>
      <c r="B4" s="1">
        <v>75.41</v>
      </c>
      <c r="C4" s="1">
        <v>75.91</v>
      </c>
      <c r="D4" s="1">
        <v>76.22</v>
      </c>
      <c r="E4" s="1">
        <v>74.849999999999994</v>
      </c>
      <c r="F4" s="1">
        <v>76.58</v>
      </c>
      <c r="G4" s="1">
        <v>76.12</v>
      </c>
      <c r="H4" s="1">
        <v>76.239999999999995</v>
      </c>
      <c r="I4" s="1">
        <v>75.150000000000006</v>
      </c>
      <c r="J4" s="1">
        <v>76.23</v>
      </c>
      <c r="K4" s="1">
        <v>75.67</v>
      </c>
      <c r="L4" s="1">
        <v>75.819999999999993</v>
      </c>
      <c r="M4" s="1">
        <v>74.989999999999995</v>
      </c>
      <c r="N4" s="1">
        <v>76.44</v>
      </c>
      <c r="O4" s="1">
        <v>75.27</v>
      </c>
      <c r="P4" s="1">
        <v>75.400000000000006</v>
      </c>
      <c r="Q4" s="1">
        <v>75.27</v>
      </c>
      <c r="R4" s="1">
        <v>75.47</v>
      </c>
      <c r="S4" s="1">
        <v>75.45</v>
      </c>
      <c r="T4" s="1">
        <v>75.37</v>
      </c>
      <c r="U4" s="4">
        <v>74.39</v>
      </c>
      <c r="V4" s="4">
        <v>74.459999999999994</v>
      </c>
      <c r="W4" s="4">
        <v>74.459999999999994</v>
      </c>
      <c r="X4" s="4">
        <v>74.55</v>
      </c>
      <c r="Y4" s="4">
        <v>74.72</v>
      </c>
      <c r="Z4" s="4">
        <v>74.56</v>
      </c>
      <c r="AA4" s="4">
        <v>74.760000000000005</v>
      </c>
      <c r="AB4" s="4">
        <v>74.540000000000006</v>
      </c>
      <c r="AC4" s="4">
        <v>74.7</v>
      </c>
      <c r="AD4" s="4">
        <v>74.55</v>
      </c>
      <c r="AE4" s="4">
        <v>74.819999999999993</v>
      </c>
      <c r="AF4" s="2">
        <v>74.34</v>
      </c>
      <c r="AG4" s="2">
        <v>74.8</v>
      </c>
      <c r="AH4" s="2">
        <v>74.91</v>
      </c>
      <c r="AI4" s="2">
        <v>75.739999999999995</v>
      </c>
      <c r="AJ4" s="2">
        <v>74.59</v>
      </c>
      <c r="AK4" s="2">
        <v>74.22</v>
      </c>
      <c r="AL4" s="2">
        <v>75.33</v>
      </c>
      <c r="AM4" s="2">
        <v>75.09</v>
      </c>
      <c r="AN4" s="2">
        <v>75.069999999999993</v>
      </c>
      <c r="AO4" s="3">
        <v>75.790000000000006</v>
      </c>
      <c r="AP4" s="3">
        <v>75.83</v>
      </c>
      <c r="AQ4" s="3">
        <v>75.599999999999994</v>
      </c>
      <c r="AR4" s="3">
        <v>75.22</v>
      </c>
      <c r="AS4" s="3">
        <v>76.27</v>
      </c>
      <c r="AT4" s="3">
        <v>76.209999999999994</v>
      </c>
      <c r="AU4" s="3">
        <v>76.010000000000005</v>
      </c>
      <c r="AV4" s="3">
        <v>75.430000000000007</v>
      </c>
      <c r="AW4" s="3">
        <v>76.12</v>
      </c>
    </row>
    <row r="5" spans="1:55" x14ac:dyDescent="0.25">
      <c r="A5" s="1">
        <v>35</v>
      </c>
      <c r="B5" s="1">
        <v>75.7</v>
      </c>
      <c r="C5" s="1">
        <v>75.599999999999994</v>
      </c>
      <c r="D5" s="1">
        <v>75.08</v>
      </c>
      <c r="E5" s="1">
        <v>75.260000000000005</v>
      </c>
      <c r="F5" s="1">
        <v>75.930000000000007</v>
      </c>
      <c r="G5" s="1">
        <v>75.66</v>
      </c>
      <c r="H5" s="1">
        <v>75.709999999999994</v>
      </c>
      <c r="I5" s="1">
        <v>75.760000000000005</v>
      </c>
      <c r="J5">
        <v>75.47</v>
      </c>
      <c r="K5" s="1">
        <v>75.55</v>
      </c>
      <c r="L5" s="1">
        <v>75.69</v>
      </c>
      <c r="M5" s="1">
        <v>74.94</v>
      </c>
      <c r="N5" s="1">
        <v>75.08</v>
      </c>
      <c r="O5" s="1">
        <v>74.680000000000007</v>
      </c>
      <c r="P5" s="1">
        <v>74.760000000000005</v>
      </c>
      <c r="Q5" s="1">
        <v>75.05</v>
      </c>
      <c r="R5" s="1">
        <v>75.150000000000006</v>
      </c>
      <c r="S5">
        <v>74.599999999999994</v>
      </c>
      <c r="T5" s="1">
        <v>74.680000000000007</v>
      </c>
      <c r="U5" s="15">
        <v>70.56</v>
      </c>
      <c r="V5" s="4">
        <v>73.03</v>
      </c>
      <c r="W5" s="4">
        <v>72.92</v>
      </c>
      <c r="X5" s="4">
        <v>73.58</v>
      </c>
      <c r="Y5" s="4">
        <v>73.459999999999994</v>
      </c>
      <c r="Z5" s="4">
        <v>73.45</v>
      </c>
      <c r="AA5" s="4">
        <v>73.38</v>
      </c>
      <c r="AB5" s="4">
        <v>73.41</v>
      </c>
      <c r="AC5" s="4">
        <v>73.25</v>
      </c>
      <c r="AD5" s="4">
        <v>73.23</v>
      </c>
      <c r="AE5" s="4">
        <v>73.3</v>
      </c>
      <c r="AF5" s="2">
        <v>75.08</v>
      </c>
      <c r="AG5" s="2">
        <v>74.53</v>
      </c>
      <c r="AH5" s="2">
        <v>74.41</v>
      </c>
      <c r="AI5" s="2">
        <v>74.260000000000005</v>
      </c>
      <c r="AJ5" s="2">
        <v>74.069999999999993</v>
      </c>
      <c r="AK5" s="2">
        <v>74.44</v>
      </c>
      <c r="AL5" s="2">
        <v>74.78</v>
      </c>
      <c r="AM5" s="2">
        <v>74.099999999999994</v>
      </c>
      <c r="AN5" s="2">
        <v>74.430000000000007</v>
      </c>
      <c r="AO5" s="2">
        <v>74.3</v>
      </c>
      <c r="AP5" s="3">
        <v>75.03</v>
      </c>
      <c r="AQ5" s="3">
        <v>75.33</v>
      </c>
      <c r="AR5" s="3">
        <v>75.2</v>
      </c>
      <c r="AS5" s="3">
        <v>74.760000000000005</v>
      </c>
      <c r="AT5" s="3">
        <v>75.14</v>
      </c>
      <c r="AU5" s="3">
        <v>75.13</v>
      </c>
      <c r="AV5" s="3">
        <v>75.17</v>
      </c>
      <c r="AW5" s="3">
        <v>75.010000000000005</v>
      </c>
      <c r="AX5" s="3">
        <v>75</v>
      </c>
    </row>
    <row r="8" spans="1:55" x14ac:dyDescent="0.25">
      <c r="A8" s="1"/>
      <c r="B8" s="1"/>
      <c r="C8" s="1"/>
      <c r="D8" s="1"/>
      <c r="E8" s="10"/>
      <c r="F8" s="10">
        <v>20</v>
      </c>
      <c r="G8" s="10"/>
      <c r="H8" s="10"/>
      <c r="I8" s="10"/>
      <c r="N8" s="1">
        <v>30</v>
      </c>
    </row>
    <row r="9" spans="1:55" x14ac:dyDescent="0.25">
      <c r="A9" s="11">
        <v>72.33</v>
      </c>
      <c r="B9" s="2">
        <v>72.39</v>
      </c>
      <c r="C9" s="2">
        <v>74.22</v>
      </c>
      <c r="D9" s="11">
        <v>70.56</v>
      </c>
    </row>
    <row r="10" spans="1:55" x14ac:dyDescent="0.25">
      <c r="A10" s="2">
        <v>72.78</v>
      </c>
      <c r="B10" s="2">
        <v>72.400000000000006</v>
      </c>
      <c r="C10" s="2">
        <v>74.34</v>
      </c>
      <c r="D10" s="4">
        <v>72.92</v>
      </c>
    </row>
    <row r="11" spans="1:55" x14ac:dyDescent="0.25">
      <c r="A11" s="2">
        <v>72.790000000000006</v>
      </c>
      <c r="B11" s="2">
        <v>72.489999999999995</v>
      </c>
      <c r="C11" s="4">
        <v>74.39</v>
      </c>
      <c r="D11" s="4">
        <v>73.03</v>
      </c>
    </row>
    <row r="12" spans="1:55" x14ac:dyDescent="0.25">
      <c r="A12" s="2">
        <v>73.05</v>
      </c>
      <c r="B12" s="3">
        <v>72.53</v>
      </c>
      <c r="C12" s="4">
        <v>74.459999999999994</v>
      </c>
      <c r="D12" s="4">
        <v>73.23</v>
      </c>
    </row>
    <row r="13" spans="1:55" x14ac:dyDescent="0.25">
      <c r="A13" s="2">
        <v>73.16</v>
      </c>
      <c r="B13" s="2">
        <v>72.59</v>
      </c>
      <c r="C13" s="4">
        <v>74.459999999999994</v>
      </c>
      <c r="D13" s="4">
        <v>73.25</v>
      </c>
    </row>
    <row r="14" spans="1:55" x14ac:dyDescent="0.25">
      <c r="A14" s="2">
        <v>73.23</v>
      </c>
      <c r="B14" s="1">
        <v>72.64</v>
      </c>
      <c r="C14" s="4">
        <v>74.540000000000006</v>
      </c>
      <c r="D14" s="4">
        <v>73.3</v>
      </c>
    </row>
    <row r="15" spans="1:55" x14ac:dyDescent="0.25">
      <c r="A15" s="2">
        <v>73.39</v>
      </c>
      <c r="B15" s="2">
        <v>72.67</v>
      </c>
      <c r="C15" s="4">
        <v>74.55</v>
      </c>
      <c r="D15" s="4">
        <v>73.38</v>
      </c>
      <c r="E15" s="10"/>
      <c r="F15" s="10"/>
      <c r="G15" s="10"/>
      <c r="H15" s="10"/>
      <c r="I15" s="10"/>
    </row>
    <row r="16" spans="1:55" x14ac:dyDescent="0.25">
      <c r="A16" s="2">
        <v>73.55</v>
      </c>
      <c r="B16" s="1">
        <v>72.69</v>
      </c>
      <c r="C16" s="4">
        <v>74.55</v>
      </c>
      <c r="D16" s="4">
        <v>73.41</v>
      </c>
    </row>
    <row r="17" spans="1:14" x14ac:dyDescent="0.25">
      <c r="A17" s="2">
        <v>73.67</v>
      </c>
      <c r="B17" s="1">
        <v>72.69</v>
      </c>
      <c r="C17" s="4">
        <v>74.56</v>
      </c>
      <c r="D17" s="4">
        <v>73.45</v>
      </c>
    </row>
    <row r="18" spans="1:14" x14ac:dyDescent="0.25">
      <c r="A18" s="1">
        <v>73.739999999999995</v>
      </c>
      <c r="B18" s="2">
        <v>72.69</v>
      </c>
      <c r="C18" s="2">
        <v>74.59</v>
      </c>
      <c r="D18" s="4">
        <v>73.459999999999994</v>
      </c>
    </row>
    <row r="19" spans="1:14" x14ac:dyDescent="0.25">
      <c r="A19" s="1">
        <v>73.81</v>
      </c>
      <c r="B19" s="2">
        <v>72.73</v>
      </c>
      <c r="C19" s="4">
        <v>74.7</v>
      </c>
      <c r="D19" s="4">
        <v>73.58</v>
      </c>
      <c r="F19">
        <v>25</v>
      </c>
      <c r="L19" t="s">
        <v>4</v>
      </c>
      <c r="N19">
        <v>35</v>
      </c>
    </row>
    <row r="20" spans="1:14" x14ac:dyDescent="0.25">
      <c r="A20" s="1">
        <v>73.81</v>
      </c>
      <c r="B20" s="1">
        <v>72.760000000000005</v>
      </c>
      <c r="C20" s="4">
        <v>74.72</v>
      </c>
      <c r="D20" s="2">
        <v>74.069999999999993</v>
      </c>
    </row>
    <row r="21" spans="1:14" x14ac:dyDescent="0.25">
      <c r="A21" s="1">
        <v>73.94</v>
      </c>
      <c r="B21" s="1">
        <v>72.760000000000005</v>
      </c>
      <c r="C21" s="4">
        <v>74.760000000000005</v>
      </c>
      <c r="D21" s="2">
        <v>74.099999999999994</v>
      </c>
    </row>
    <row r="22" spans="1:14" x14ac:dyDescent="0.25">
      <c r="A22" s="1">
        <v>73.97</v>
      </c>
      <c r="B22" s="1">
        <v>72.760000000000005</v>
      </c>
      <c r="C22" s="2">
        <v>74.8</v>
      </c>
      <c r="D22" s="2">
        <v>74.260000000000005</v>
      </c>
    </row>
    <row r="23" spans="1:14" x14ac:dyDescent="0.25">
      <c r="A23" s="1">
        <v>73.98</v>
      </c>
      <c r="B23" s="1">
        <v>72.77</v>
      </c>
      <c r="C23" s="4">
        <v>74.819999999999993</v>
      </c>
      <c r="D23" s="2">
        <v>74.3</v>
      </c>
      <c r="E23" s="10"/>
      <c r="F23" s="10"/>
      <c r="G23" s="10"/>
      <c r="H23" s="10"/>
      <c r="I23" s="10"/>
    </row>
    <row r="24" spans="1:14" x14ac:dyDescent="0.25">
      <c r="A24" s="1">
        <v>74</v>
      </c>
      <c r="B24" s="1">
        <v>72.790000000000006</v>
      </c>
      <c r="C24" s="1">
        <v>74.849999999999994</v>
      </c>
      <c r="D24" s="2">
        <v>74.41</v>
      </c>
    </row>
    <row r="25" spans="1:14" x14ac:dyDescent="0.25">
      <c r="A25" s="1">
        <v>74</v>
      </c>
      <c r="B25" s="2">
        <v>72.819999999999993</v>
      </c>
      <c r="C25" s="2">
        <v>74.91</v>
      </c>
      <c r="D25" s="2">
        <v>74.430000000000007</v>
      </c>
    </row>
    <row r="26" spans="1:14" x14ac:dyDescent="0.25">
      <c r="A26" s="4">
        <v>74.010000000000005</v>
      </c>
      <c r="B26" s="1">
        <v>72.83</v>
      </c>
      <c r="C26" s="1">
        <v>74.989999999999995</v>
      </c>
      <c r="D26" s="2">
        <v>74.44</v>
      </c>
    </row>
    <row r="27" spans="1:14" x14ac:dyDescent="0.25">
      <c r="A27" s="1">
        <v>74.06</v>
      </c>
      <c r="B27" s="1">
        <v>72.86</v>
      </c>
      <c r="C27" s="2">
        <v>75.069999999999993</v>
      </c>
      <c r="D27" s="2">
        <v>74.53</v>
      </c>
    </row>
    <row r="28" spans="1:14" x14ac:dyDescent="0.25">
      <c r="A28" s="4">
        <v>74.099999999999994</v>
      </c>
      <c r="B28" s="2">
        <v>72.87</v>
      </c>
      <c r="C28" s="2">
        <v>75.09</v>
      </c>
      <c r="D28">
        <v>74.599999999999994</v>
      </c>
    </row>
    <row r="29" spans="1:14" x14ac:dyDescent="0.25">
      <c r="A29" s="4">
        <v>74.12</v>
      </c>
      <c r="B29" s="4">
        <v>73.010000000000005</v>
      </c>
      <c r="C29" s="1">
        <v>75.150000000000006</v>
      </c>
      <c r="D29" s="1">
        <v>74.680000000000007</v>
      </c>
    </row>
    <row r="30" spans="1:14" x14ac:dyDescent="0.25">
      <c r="A30" s="1">
        <v>74.14</v>
      </c>
      <c r="B30" s="1">
        <v>73.08</v>
      </c>
      <c r="C30" s="3">
        <v>75.22</v>
      </c>
      <c r="D30" s="1">
        <v>74.680000000000007</v>
      </c>
    </row>
    <row r="31" spans="1:14" x14ac:dyDescent="0.25">
      <c r="A31" s="1">
        <v>74.150000000000006</v>
      </c>
      <c r="B31" s="1">
        <v>73.08</v>
      </c>
      <c r="C31" s="1">
        <v>75.27</v>
      </c>
      <c r="D31" s="1">
        <v>74.760000000000005</v>
      </c>
    </row>
    <row r="32" spans="1:14" x14ac:dyDescent="0.25">
      <c r="A32" s="1">
        <v>74.17</v>
      </c>
      <c r="B32" s="3">
        <v>73.11</v>
      </c>
      <c r="C32" s="1">
        <v>75.27</v>
      </c>
      <c r="D32" s="3">
        <v>74.760000000000005</v>
      </c>
    </row>
    <row r="33" spans="1:4" x14ac:dyDescent="0.25">
      <c r="A33" s="4">
        <v>74.17</v>
      </c>
      <c r="B33" s="1">
        <v>73.16</v>
      </c>
      <c r="C33" s="2">
        <v>75.33</v>
      </c>
      <c r="D33" s="2">
        <v>74.78</v>
      </c>
    </row>
    <row r="34" spans="1:4" x14ac:dyDescent="0.25">
      <c r="A34" s="1">
        <v>74.180000000000007</v>
      </c>
      <c r="B34" s="1">
        <v>73.16</v>
      </c>
      <c r="C34" s="1">
        <v>75.37</v>
      </c>
      <c r="D34" s="1">
        <v>74.94</v>
      </c>
    </row>
    <row r="35" spans="1:4" x14ac:dyDescent="0.25">
      <c r="A35" s="4">
        <v>74.19</v>
      </c>
      <c r="B35" s="3">
        <v>73.22</v>
      </c>
      <c r="C35" s="1">
        <v>75.400000000000006</v>
      </c>
      <c r="D35" s="3">
        <v>75</v>
      </c>
    </row>
    <row r="36" spans="1:4" x14ac:dyDescent="0.25">
      <c r="A36" s="4">
        <v>74.239999999999995</v>
      </c>
      <c r="B36" s="3">
        <v>73.22</v>
      </c>
      <c r="C36" s="1">
        <v>75.41</v>
      </c>
      <c r="D36" s="3">
        <v>75.010000000000005</v>
      </c>
    </row>
    <row r="37" spans="1:4" x14ac:dyDescent="0.25">
      <c r="A37" s="1">
        <v>74.28</v>
      </c>
      <c r="B37" s="3">
        <v>73.28</v>
      </c>
      <c r="C37" s="3">
        <v>75.430000000000007</v>
      </c>
      <c r="D37" s="3">
        <v>75.03</v>
      </c>
    </row>
    <row r="38" spans="1:4" x14ac:dyDescent="0.25">
      <c r="A38" s="4">
        <v>74.28</v>
      </c>
      <c r="B38" s="1">
        <v>73.37</v>
      </c>
      <c r="C38" s="1">
        <v>75.45</v>
      </c>
      <c r="D38" s="1">
        <v>75.05</v>
      </c>
    </row>
    <row r="39" spans="1:4" x14ac:dyDescent="0.25">
      <c r="A39" s="4">
        <v>74.430000000000007</v>
      </c>
      <c r="B39" s="3">
        <v>73.39</v>
      </c>
      <c r="C39" s="1">
        <v>75.47</v>
      </c>
      <c r="D39" s="1">
        <v>75.08</v>
      </c>
    </row>
    <row r="40" spans="1:4" x14ac:dyDescent="0.25">
      <c r="A40" s="4">
        <v>74.459999999999994</v>
      </c>
      <c r="B40" s="4">
        <v>73.55</v>
      </c>
      <c r="C40" s="3">
        <v>75.599999999999994</v>
      </c>
      <c r="D40" s="1">
        <v>75.08</v>
      </c>
    </row>
    <row r="41" spans="1:4" x14ac:dyDescent="0.25">
      <c r="A41" s="3">
        <v>74.599999999999994</v>
      </c>
      <c r="B41" s="4">
        <v>73.55</v>
      </c>
      <c r="C41" s="1">
        <v>75.67</v>
      </c>
      <c r="D41" s="2">
        <v>75.08</v>
      </c>
    </row>
    <row r="42" spans="1:4" x14ac:dyDescent="0.25">
      <c r="A42" s="1">
        <v>74.61</v>
      </c>
      <c r="B42" s="4">
        <v>73.55</v>
      </c>
      <c r="C42" s="2">
        <v>75.739999999999995</v>
      </c>
      <c r="D42" s="3">
        <v>75.13</v>
      </c>
    </row>
    <row r="43" spans="1:4" x14ac:dyDescent="0.25">
      <c r="A43" s="1">
        <v>74.62</v>
      </c>
      <c r="B43" s="1">
        <v>73.739999999999995</v>
      </c>
      <c r="C43" s="3">
        <v>75.790000000000006</v>
      </c>
      <c r="D43" s="3">
        <v>75.14</v>
      </c>
    </row>
    <row r="44" spans="1:4" x14ac:dyDescent="0.25">
      <c r="A44" s="3">
        <v>74.650000000000006</v>
      </c>
      <c r="B44" s="1">
        <v>73.83</v>
      </c>
      <c r="C44" s="1">
        <v>75.819999999999993</v>
      </c>
      <c r="D44" s="1">
        <v>75.150000000000006</v>
      </c>
    </row>
    <row r="45" spans="1:4" x14ac:dyDescent="0.25">
      <c r="A45" s="1">
        <v>74.67</v>
      </c>
      <c r="B45" s="3">
        <v>73.84</v>
      </c>
      <c r="C45" s="3">
        <v>75.83</v>
      </c>
      <c r="D45" s="3">
        <v>75.17</v>
      </c>
    </row>
    <row r="46" spans="1:4" x14ac:dyDescent="0.25">
      <c r="A46" s="1">
        <v>74.69</v>
      </c>
      <c r="B46" s="4">
        <v>73.849999999999994</v>
      </c>
      <c r="C46" s="1">
        <v>75.91</v>
      </c>
      <c r="D46" s="3">
        <v>75.2</v>
      </c>
    </row>
    <row r="47" spans="1:4" x14ac:dyDescent="0.25">
      <c r="A47" s="3">
        <v>74.7</v>
      </c>
      <c r="B47" s="1">
        <v>73.86</v>
      </c>
      <c r="C47" s="3">
        <v>76.010000000000005</v>
      </c>
      <c r="D47" s="1">
        <v>75.260000000000005</v>
      </c>
    </row>
    <row r="48" spans="1:4" x14ac:dyDescent="0.25">
      <c r="A48" s="3">
        <v>74.7</v>
      </c>
      <c r="B48" s="4">
        <v>73.91</v>
      </c>
      <c r="C48" s="1">
        <v>76.12</v>
      </c>
      <c r="D48" s="3">
        <v>75.33</v>
      </c>
    </row>
    <row r="49" spans="1:4" x14ac:dyDescent="0.25">
      <c r="A49" s="3">
        <v>74.83</v>
      </c>
      <c r="B49" s="3">
        <v>73.959999999999994</v>
      </c>
      <c r="C49" s="3">
        <v>76.12</v>
      </c>
      <c r="D49">
        <v>75.47</v>
      </c>
    </row>
    <row r="50" spans="1:4" x14ac:dyDescent="0.25">
      <c r="A50" s="3">
        <v>74.87</v>
      </c>
      <c r="B50" s="3">
        <v>73.97</v>
      </c>
      <c r="C50" s="3">
        <v>76.209999999999994</v>
      </c>
      <c r="D50" s="1">
        <v>75.55</v>
      </c>
    </row>
    <row r="51" spans="1:4" x14ac:dyDescent="0.25">
      <c r="A51" s="3">
        <v>74.930000000000007</v>
      </c>
      <c r="B51" s="4">
        <v>74.03</v>
      </c>
      <c r="C51" s="1">
        <v>76.22</v>
      </c>
      <c r="D51" s="1">
        <v>75.599999999999994</v>
      </c>
    </row>
    <row r="52" spans="1:4" x14ac:dyDescent="0.25">
      <c r="A52" s="3">
        <v>75.02</v>
      </c>
      <c r="B52" s="4">
        <v>74.150000000000006</v>
      </c>
      <c r="C52" s="1">
        <v>76.23</v>
      </c>
      <c r="D52" s="1">
        <v>75.66</v>
      </c>
    </row>
    <row r="53" spans="1:4" x14ac:dyDescent="0.25">
      <c r="A53" s="4">
        <v>75.27</v>
      </c>
      <c r="B53" s="4">
        <v>74.150000000000006</v>
      </c>
      <c r="C53" s="1">
        <v>76.239999999999995</v>
      </c>
      <c r="D53" s="1">
        <v>75.69</v>
      </c>
    </row>
    <row r="54" spans="1:4" x14ac:dyDescent="0.25">
      <c r="A54" s="4">
        <v>75.27</v>
      </c>
      <c r="B54" s="4">
        <v>74.36</v>
      </c>
      <c r="C54" s="3">
        <v>76.27</v>
      </c>
      <c r="D54" s="1">
        <v>75.7</v>
      </c>
    </row>
    <row r="55" spans="1:4" x14ac:dyDescent="0.25">
      <c r="A55" s="3">
        <v>75.28</v>
      </c>
      <c r="B55" s="4">
        <v>74.430000000000007</v>
      </c>
      <c r="C55" s="1">
        <v>76.44</v>
      </c>
      <c r="D55" s="1">
        <v>75.709999999999994</v>
      </c>
    </row>
    <row r="56" spans="1:4" x14ac:dyDescent="0.25">
      <c r="A56" s="4">
        <v>75.37</v>
      </c>
      <c r="B56" s="4">
        <v>74.44</v>
      </c>
      <c r="C56" s="1">
        <v>76.58</v>
      </c>
      <c r="D56" s="1">
        <v>75.760000000000005</v>
      </c>
    </row>
    <row r="57" spans="1:4" x14ac:dyDescent="0.25">
      <c r="B57" s="4">
        <v>74.59</v>
      </c>
      <c r="D57" s="1">
        <v>75.930000000000007</v>
      </c>
    </row>
    <row r="58" spans="1:4" x14ac:dyDescent="0.25">
      <c r="B58" s="4">
        <v>74.67</v>
      </c>
    </row>
    <row r="59" spans="1:4" x14ac:dyDescent="0.25">
      <c r="B59" s="4">
        <v>74.760000000000005</v>
      </c>
    </row>
    <row r="60" spans="1:4" x14ac:dyDescent="0.25">
      <c r="B60" s="4">
        <v>74.86</v>
      </c>
    </row>
    <row r="61" spans="1:4" x14ac:dyDescent="0.25">
      <c r="B61" s="4">
        <v>74.92</v>
      </c>
    </row>
    <row r="62" spans="1:4" x14ac:dyDescent="0.25">
      <c r="B62" s="4">
        <v>75.489999999999995</v>
      </c>
    </row>
    <row r="64" spans="1:4" x14ac:dyDescent="0.25">
      <c r="A64">
        <f>VAR(A10:A56)</f>
        <v>0.39624616096207199</v>
      </c>
      <c r="B64">
        <f>VAR(B9:B62)</f>
        <v>0.59053308874912602</v>
      </c>
      <c r="C64">
        <f>VAR(C9:C56)</f>
        <v>0.42453882978723401</v>
      </c>
      <c r="D64">
        <f>VAR(D10:D57)</f>
        <v>0.69351555851063851</v>
      </c>
    </row>
  </sheetData>
  <sortState xmlns:xlrd2="http://schemas.microsoft.com/office/spreadsheetml/2017/richdata2" ref="D9:D57">
    <sortCondition ref="D9"/>
  </sortState>
  <mergeCells count="2">
    <mergeCell ref="A1:I1"/>
    <mergeCell ref="N1:V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0:W39"/>
  <sheetViews>
    <sheetView tabSelected="1" zoomScale="80" workbookViewId="0">
      <selection activeCell="U23" sqref="U23"/>
    </sheetView>
  </sheetViews>
  <sheetFormatPr baseColWidth="10" defaultRowHeight="15" x14ac:dyDescent="0.25"/>
  <sheetData>
    <row r="10" spans="1:23" x14ac:dyDescent="0.25">
      <c r="A10" s="18" t="s">
        <v>6</v>
      </c>
      <c r="B10" s="18"/>
      <c r="C10" s="18"/>
      <c r="D10" s="18"/>
      <c r="E10" s="18"/>
      <c r="F10" s="18"/>
      <c r="G10" s="18"/>
      <c r="H10" s="18"/>
      <c r="I10" s="18"/>
    </row>
    <row r="11" spans="1:23" x14ac:dyDescent="0.25">
      <c r="A11" s="2">
        <v>20</v>
      </c>
      <c r="B11" s="2">
        <v>75.14</v>
      </c>
      <c r="C11" s="2">
        <v>75.64</v>
      </c>
      <c r="D11" s="2">
        <v>76.05</v>
      </c>
      <c r="E11" s="2">
        <v>75.45</v>
      </c>
      <c r="F11" s="2">
        <v>75.78</v>
      </c>
      <c r="G11" s="2">
        <v>75.7</v>
      </c>
      <c r="H11" s="2">
        <v>75.8</v>
      </c>
      <c r="I11" s="2">
        <v>75.989999999999995</v>
      </c>
      <c r="J11" s="2">
        <v>75.180000000000007</v>
      </c>
      <c r="K11" s="12">
        <v>74.22</v>
      </c>
      <c r="L11" s="12">
        <v>74.14</v>
      </c>
      <c r="M11" s="12">
        <v>73.63</v>
      </c>
      <c r="N11" s="12">
        <v>74.31</v>
      </c>
      <c r="O11" s="12">
        <v>73.98</v>
      </c>
      <c r="P11" s="12">
        <v>74.19</v>
      </c>
      <c r="Q11" s="3">
        <v>76.19</v>
      </c>
      <c r="R11" s="3">
        <v>75.67</v>
      </c>
      <c r="S11" s="3">
        <v>75.78</v>
      </c>
      <c r="T11" s="3">
        <v>75.61</v>
      </c>
      <c r="U11" s="3">
        <v>75.38</v>
      </c>
      <c r="V11" s="3">
        <v>75.38</v>
      </c>
      <c r="W11" s="3">
        <v>75.45</v>
      </c>
    </row>
    <row r="12" spans="1:23" x14ac:dyDescent="0.25">
      <c r="A12" s="2">
        <v>25</v>
      </c>
      <c r="B12" s="2">
        <v>74.91</v>
      </c>
      <c r="C12" s="2">
        <v>74.72</v>
      </c>
      <c r="D12" s="2">
        <v>74.84</v>
      </c>
      <c r="E12" s="2">
        <v>75.319999999999993</v>
      </c>
      <c r="F12" s="2">
        <v>74.97</v>
      </c>
      <c r="G12" s="2">
        <v>75.239999999999995</v>
      </c>
      <c r="H12" s="2">
        <v>74.41</v>
      </c>
      <c r="I12" s="2">
        <v>74.87</v>
      </c>
      <c r="J12" s="2">
        <v>74.05</v>
      </c>
      <c r="K12" s="3">
        <v>74.37</v>
      </c>
      <c r="L12" s="3">
        <v>74.099999999999994</v>
      </c>
      <c r="M12" s="3">
        <v>73.73</v>
      </c>
      <c r="N12" s="3">
        <v>73.41</v>
      </c>
      <c r="O12" s="3">
        <v>73.78</v>
      </c>
      <c r="P12" s="3">
        <v>73.489999999999995</v>
      </c>
      <c r="Q12" s="3">
        <v>73.72</v>
      </c>
      <c r="R12" s="3">
        <v>73.599999999999994</v>
      </c>
      <c r="S12" s="3">
        <v>73.540000000000006</v>
      </c>
    </row>
    <row r="13" spans="1:23" x14ac:dyDescent="0.25">
      <c r="A13" s="2">
        <v>30</v>
      </c>
      <c r="B13" s="2">
        <v>74.55</v>
      </c>
      <c r="C13" s="2">
        <v>74.2</v>
      </c>
      <c r="D13" s="2">
        <v>73.33</v>
      </c>
      <c r="E13" s="2">
        <v>73.650000000000006</v>
      </c>
      <c r="F13" s="2">
        <v>73.78</v>
      </c>
      <c r="G13" s="2">
        <v>73.680000000000007</v>
      </c>
      <c r="H13" s="2">
        <v>73.459999999999994</v>
      </c>
      <c r="I13" s="2">
        <v>73.52</v>
      </c>
      <c r="J13" s="2">
        <v>73.459999999999994</v>
      </c>
      <c r="K13" s="3">
        <v>72.319999999999993</v>
      </c>
      <c r="L13" s="3">
        <v>72.92</v>
      </c>
      <c r="M13" s="3">
        <v>72.48</v>
      </c>
      <c r="N13" s="3">
        <v>72.650000000000006</v>
      </c>
      <c r="O13" s="3">
        <v>72.489999999999995</v>
      </c>
      <c r="P13" s="3">
        <v>72.17</v>
      </c>
      <c r="Q13" s="3">
        <v>72.489999999999995</v>
      </c>
      <c r="R13" s="3">
        <v>72.5</v>
      </c>
      <c r="S13" s="3">
        <v>72.42</v>
      </c>
      <c r="T13" s="3">
        <v>72.400000000000006</v>
      </c>
    </row>
    <row r="14" spans="1:23" x14ac:dyDescent="0.25">
      <c r="A14" s="2">
        <v>35</v>
      </c>
      <c r="B14" s="2">
        <v>72.930000000000007</v>
      </c>
      <c r="C14" s="2">
        <v>73.33</v>
      </c>
      <c r="D14" s="2">
        <v>73.06</v>
      </c>
      <c r="E14" s="2">
        <v>73.08</v>
      </c>
      <c r="F14" s="2">
        <v>73.53</v>
      </c>
      <c r="G14" s="2">
        <v>73.069999999999993</v>
      </c>
      <c r="H14" s="2">
        <v>72.88</v>
      </c>
      <c r="I14" s="2">
        <v>72.92</v>
      </c>
      <c r="J14" s="2">
        <v>72.53</v>
      </c>
      <c r="K14" s="3">
        <v>71.86</v>
      </c>
      <c r="L14" s="3">
        <v>71.48</v>
      </c>
      <c r="M14" s="3">
        <v>71.900000000000006</v>
      </c>
      <c r="N14" s="3">
        <v>71.95</v>
      </c>
      <c r="O14" s="3">
        <v>71.88</v>
      </c>
      <c r="P14" s="3">
        <v>71.48</v>
      </c>
      <c r="Q14" s="3">
        <v>71.19</v>
      </c>
      <c r="R14" s="3">
        <v>71.760000000000005</v>
      </c>
      <c r="S14" s="3">
        <v>71.53</v>
      </c>
    </row>
    <row r="16" spans="1:23" x14ac:dyDescent="0.25">
      <c r="A16" s="2">
        <v>75.14</v>
      </c>
      <c r="B16" s="2">
        <v>74.91</v>
      </c>
      <c r="C16" s="2">
        <v>74.55</v>
      </c>
      <c r="D16" s="2">
        <v>72.930000000000007</v>
      </c>
      <c r="F16" s="2">
        <v>20</v>
      </c>
    </row>
    <row r="17" spans="1:13" x14ac:dyDescent="0.25">
      <c r="A17" s="2">
        <v>75.64</v>
      </c>
      <c r="B17" s="2">
        <v>74.72</v>
      </c>
      <c r="C17" s="2">
        <v>74.2</v>
      </c>
      <c r="D17" s="2">
        <v>73.33</v>
      </c>
      <c r="M17" s="3">
        <v>30</v>
      </c>
    </row>
    <row r="18" spans="1:13" x14ac:dyDescent="0.25">
      <c r="A18" s="2">
        <v>76.05</v>
      </c>
      <c r="B18" s="2">
        <v>74.84</v>
      </c>
      <c r="C18" s="2">
        <v>73.33</v>
      </c>
      <c r="D18" s="2">
        <v>73.06</v>
      </c>
    </row>
    <row r="19" spans="1:13" x14ac:dyDescent="0.25">
      <c r="A19" s="2">
        <v>75.45</v>
      </c>
      <c r="B19" s="2">
        <v>75.319999999999993</v>
      </c>
      <c r="C19" s="2">
        <v>73.650000000000006</v>
      </c>
      <c r="D19" s="2">
        <v>73.08</v>
      </c>
    </row>
    <row r="20" spans="1:13" x14ac:dyDescent="0.25">
      <c r="A20" s="2">
        <v>75.78</v>
      </c>
      <c r="B20" s="2">
        <v>74.97</v>
      </c>
      <c r="C20" s="2">
        <v>73.78</v>
      </c>
      <c r="D20" s="2">
        <v>73.53</v>
      </c>
    </row>
    <row r="21" spans="1:13" x14ac:dyDescent="0.25">
      <c r="A21" s="2">
        <v>75.7</v>
      </c>
      <c r="B21" s="2">
        <v>75.239999999999995</v>
      </c>
      <c r="C21" s="2">
        <v>73.680000000000007</v>
      </c>
      <c r="D21" s="2">
        <v>73.069999999999993</v>
      </c>
    </row>
    <row r="22" spans="1:13" x14ac:dyDescent="0.25">
      <c r="A22" s="2">
        <v>75.8</v>
      </c>
      <c r="B22" s="2">
        <v>74.41</v>
      </c>
      <c r="C22" s="2">
        <v>73.459999999999994</v>
      </c>
      <c r="D22" s="2">
        <v>72.88</v>
      </c>
    </row>
    <row r="23" spans="1:13" x14ac:dyDescent="0.25">
      <c r="A23" s="2">
        <v>75.989999999999995</v>
      </c>
      <c r="B23" s="2">
        <v>74.87</v>
      </c>
      <c r="C23" s="2">
        <v>73.52</v>
      </c>
      <c r="D23" s="2">
        <v>72.92</v>
      </c>
      <c r="F23" s="10"/>
      <c r="G23" s="10"/>
      <c r="H23" s="10"/>
      <c r="I23" s="10"/>
    </row>
    <row r="24" spans="1:13" x14ac:dyDescent="0.25">
      <c r="A24" s="2">
        <v>75.180000000000007</v>
      </c>
      <c r="B24" s="2">
        <v>74.05</v>
      </c>
      <c r="C24" s="2">
        <v>73.459999999999994</v>
      </c>
      <c r="D24" s="2">
        <v>72.53</v>
      </c>
    </row>
    <row r="25" spans="1:13" x14ac:dyDescent="0.25">
      <c r="A25" s="12">
        <v>74.22</v>
      </c>
      <c r="B25" s="3">
        <v>74.37</v>
      </c>
      <c r="C25" s="3">
        <v>72.319999999999993</v>
      </c>
      <c r="D25" s="3">
        <v>71.86</v>
      </c>
    </row>
    <row r="26" spans="1:13" x14ac:dyDescent="0.25">
      <c r="A26" s="12">
        <v>74.14</v>
      </c>
      <c r="B26" s="3">
        <v>74.099999999999994</v>
      </c>
      <c r="C26" s="3">
        <v>72.92</v>
      </c>
      <c r="D26" s="3">
        <v>71.48</v>
      </c>
      <c r="F26" s="3">
        <v>25</v>
      </c>
    </row>
    <row r="27" spans="1:13" x14ac:dyDescent="0.25">
      <c r="A27" s="12">
        <v>73.63</v>
      </c>
      <c r="B27" s="3">
        <v>73.73</v>
      </c>
      <c r="C27" s="3">
        <v>72.48</v>
      </c>
      <c r="D27" s="3">
        <v>71.900000000000006</v>
      </c>
      <c r="M27">
        <v>35</v>
      </c>
    </row>
    <row r="28" spans="1:13" x14ac:dyDescent="0.25">
      <c r="A28" s="12">
        <v>74.31</v>
      </c>
      <c r="B28" s="3">
        <v>73.41</v>
      </c>
      <c r="C28" s="3">
        <v>72.650000000000006</v>
      </c>
      <c r="D28" s="3">
        <v>71.95</v>
      </c>
    </row>
    <row r="29" spans="1:13" x14ac:dyDescent="0.25">
      <c r="A29" s="12">
        <v>73.98</v>
      </c>
      <c r="B29" s="3">
        <v>73.78</v>
      </c>
      <c r="C29" s="3">
        <v>72.489999999999995</v>
      </c>
      <c r="D29" s="3">
        <v>71.88</v>
      </c>
    </row>
    <row r="30" spans="1:13" x14ac:dyDescent="0.25">
      <c r="A30" s="12">
        <v>74.19</v>
      </c>
      <c r="B30" s="3">
        <v>73.489999999999995</v>
      </c>
      <c r="C30" s="3">
        <v>72.17</v>
      </c>
      <c r="D30" s="3">
        <v>71.48</v>
      </c>
    </row>
    <row r="31" spans="1:13" x14ac:dyDescent="0.25">
      <c r="A31" s="3">
        <v>76.19</v>
      </c>
      <c r="B31" s="3">
        <v>73.72</v>
      </c>
      <c r="C31" s="3">
        <v>72.489999999999995</v>
      </c>
      <c r="D31" s="3">
        <v>71.19</v>
      </c>
    </row>
    <row r="32" spans="1:13" x14ac:dyDescent="0.25">
      <c r="A32" s="3">
        <v>75.67</v>
      </c>
      <c r="B32" s="3">
        <v>73.599999999999994</v>
      </c>
      <c r="C32" s="3">
        <v>72.5</v>
      </c>
      <c r="D32" s="3">
        <v>71.760000000000005</v>
      </c>
    </row>
    <row r="33" spans="1:4" x14ac:dyDescent="0.25">
      <c r="A33" s="3">
        <v>75.78</v>
      </c>
      <c r="B33" s="3">
        <v>73.540000000000006</v>
      </c>
      <c r="C33" s="3">
        <v>72.42</v>
      </c>
      <c r="D33" s="3">
        <v>71.53</v>
      </c>
    </row>
    <row r="34" spans="1:4" x14ac:dyDescent="0.25">
      <c r="A34" s="3">
        <v>75.61</v>
      </c>
      <c r="C34" s="3">
        <v>72.400000000000006</v>
      </c>
    </row>
    <row r="35" spans="1:4" x14ac:dyDescent="0.25">
      <c r="A35" s="3">
        <v>75.38</v>
      </c>
    </row>
    <row r="36" spans="1:4" x14ac:dyDescent="0.25">
      <c r="A36" s="3">
        <v>75.38</v>
      </c>
    </row>
    <row r="37" spans="1:4" x14ac:dyDescent="0.25">
      <c r="A37" s="3">
        <v>75.45</v>
      </c>
    </row>
    <row r="39" spans="1:4" x14ac:dyDescent="0.25">
      <c r="A39">
        <f>VAR(A16:A37)</f>
        <v>0.58249177489177462</v>
      </c>
      <c r="B39">
        <f>VAR(B16:B33)</f>
        <v>0.41757941176470531</v>
      </c>
      <c r="C39">
        <f>VAR(C16:C34)</f>
        <v>0.50232046783625728</v>
      </c>
      <c r="D39">
        <f>VAR(D16:D33)</f>
        <v>0.56388235294117506</v>
      </c>
    </row>
  </sheetData>
  <mergeCells count="1">
    <mergeCell ref="A10:I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3:S27"/>
  <sheetViews>
    <sheetView workbookViewId="0">
      <selection activeCell="S25" sqref="S25"/>
    </sheetView>
  </sheetViews>
  <sheetFormatPr baseColWidth="10" defaultRowHeight="15" x14ac:dyDescent="0.25"/>
  <sheetData>
    <row r="23" spans="1:19" x14ac:dyDescent="0.25">
      <c r="A23" s="19" t="s">
        <v>5</v>
      </c>
      <c r="B23" s="19"/>
      <c r="C23" s="19"/>
      <c r="D23" s="19"/>
      <c r="E23" s="19"/>
      <c r="F23" s="19"/>
      <c r="G23" s="19"/>
      <c r="H23" s="19"/>
      <c r="I23" s="19"/>
      <c r="J23" s="3"/>
    </row>
    <row r="24" spans="1:19" x14ac:dyDescent="0.25">
      <c r="A24" s="3">
        <v>20</v>
      </c>
      <c r="B24" s="3">
        <v>73.41</v>
      </c>
      <c r="C24" s="3">
        <v>74.36</v>
      </c>
      <c r="D24" s="3">
        <v>73.86</v>
      </c>
      <c r="E24" s="3">
        <v>71.13</v>
      </c>
      <c r="F24" s="3">
        <v>73.95</v>
      </c>
      <c r="G24" s="3">
        <v>73.36</v>
      </c>
      <c r="H24" s="3">
        <v>73.099999999999994</v>
      </c>
      <c r="I24" s="3">
        <v>73.66</v>
      </c>
      <c r="J24" s="3">
        <v>73.69</v>
      </c>
      <c r="K24" s="3">
        <v>72.72</v>
      </c>
      <c r="L24" s="3">
        <v>72.72</v>
      </c>
      <c r="M24" s="3">
        <v>73.150000000000006</v>
      </c>
      <c r="N24" s="3">
        <v>72.89</v>
      </c>
      <c r="O24" s="3">
        <v>72.91</v>
      </c>
      <c r="P24" s="3">
        <v>72.510000000000005</v>
      </c>
      <c r="Q24" s="3">
        <v>72.69</v>
      </c>
      <c r="R24" s="3">
        <v>72.69</v>
      </c>
      <c r="S24" s="3">
        <v>72.47</v>
      </c>
    </row>
    <row r="25" spans="1:19" x14ac:dyDescent="0.25">
      <c r="A25" s="3">
        <v>25</v>
      </c>
      <c r="B25" s="3">
        <v>72.77</v>
      </c>
      <c r="C25" s="3">
        <v>72.7</v>
      </c>
      <c r="D25" s="3">
        <v>72.760000000000005</v>
      </c>
      <c r="E25" s="3">
        <v>72.7</v>
      </c>
      <c r="F25" s="3">
        <v>72.84</v>
      </c>
      <c r="G25" s="3">
        <v>72.66</v>
      </c>
      <c r="H25" s="3">
        <v>72.78</v>
      </c>
      <c r="I25" s="3">
        <v>72.06</v>
      </c>
      <c r="J25" s="3">
        <v>72.510000000000005</v>
      </c>
    </row>
    <row r="26" spans="1:19" x14ac:dyDescent="0.25">
      <c r="A26" s="3">
        <v>30</v>
      </c>
      <c r="B26" s="3">
        <v>71.8</v>
      </c>
      <c r="C26" s="3">
        <v>71.819999999999993</v>
      </c>
      <c r="D26" s="3">
        <v>71.86</v>
      </c>
      <c r="E26" s="3">
        <v>71.78</v>
      </c>
      <c r="F26" s="3">
        <v>71.86</v>
      </c>
      <c r="G26" s="3">
        <v>70.5</v>
      </c>
      <c r="H26" s="3">
        <v>71.66</v>
      </c>
      <c r="I26" s="3">
        <v>71.55</v>
      </c>
      <c r="J26" s="3">
        <v>71.27</v>
      </c>
    </row>
    <row r="27" spans="1:19" x14ac:dyDescent="0.25">
      <c r="A27" s="3">
        <v>35</v>
      </c>
      <c r="B27" s="3">
        <v>70.87</v>
      </c>
      <c r="C27" s="3">
        <v>70.790000000000006</v>
      </c>
      <c r="D27" s="3">
        <v>71.25</v>
      </c>
      <c r="E27" s="3">
        <v>71.28</v>
      </c>
      <c r="F27" s="3">
        <v>71.08</v>
      </c>
      <c r="G27" s="3">
        <v>71.44</v>
      </c>
      <c r="H27" s="3">
        <v>70.650000000000006</v>
      </c>
      <c r="I27" s="3">
        <v>71.040000000000006</v>
      </c>
      <c r="J27" s="3">
        <v>71.2</v>
      </c>
    </row>
  </sheetData>
  <mergeCells count="1">
    <mergeCell ref="A23:I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"/>
  <sheetViews>
    <sheetView workbookViewId="0">
      <selection activeCell="B4" sqref="B4"/>
    </sheetView>
  </sheetViews>
  <sheetFormatPr baseColWidth="10" defaultRowHeight="15" x14ac:dyDescent="0.25"/>
  <sheetData>
    <row r="1" spans="1:42" x14ac:dyDescent="0.25">
      <c r="A1" s="1" t="s">
        <v>0</v>
      </c>
      <c r="B1" s="16" t="s">
        <v>1</v>
      </c>
      <c r="C1" s="16"/>
      <c r="D1" s="16"/>
      <c r="E1" s="16"/>
      <c r="F1" s="16"/>
      <c r="G1" s="16"/>
      <c r="H1" s="16"/>
      <c r="I1" s="16"/>
      <c r="J1" s="16"/>
      <c r="K1" s="16"/>
    </row>
    <row r="2" spans="1:42" x14ac:dyDescent="0.25">
      <c r="A2" s="1">
        <v>20</v>
      </c>
      <c r="B2" s="1">
        <v>72.62</v>
      </c>
      <c r="C2" s="1">
        <v>72.41</v>
      </c>
      <c r="D2" s="1">
        <v>72.97</v>
      </c>
      <c r="E2" s="1">
        <v>72.459999999999994</v>
      </c>
      <c r="F2" s="1">
        <v>72.11</v>
      </c>
      <c r="G2" s="1">
        <v>73.16</v>
      </c>
      <c r="H2" s="1">
        <v>72.94</v>
      </c>
      <c r="I2" s="1">
        <v>72.81</v>
      </c>
      <c r="J2" s="1">
        <v>72.260000000000005</v>
      </c>
      <c r="K2" s="4">
        <v>72.739999999999995</v>
      </c>
      <c r="L2" s="4">
        <v>72.790000000000006</v>
      </c>
      <c r="M2" s="4">
        <v>72.239999999999995</v>
      </c>
      <c r="N2" s="4">
        <v>72.290000000000006</v>
      </c>
      <c r="O2" s="4">
        <v>72.22</v>
      </c>
      <c r="P2" s="4">
        <v>72.150000000000006</v>
      </c>
      <c r="Q2" s="4">
        <v>72.349999999999994</v>
      </c>
      <c r="R2" s="4">
        <v>72.39</v>
      </c>
      <c r="S2" s="4">
        <v>72.39</v>
      </c>
      <c r="T2" s="4">
        <v>72.58</v>
      </c>
      <c r="U2" s="4">
        <v>72.62</v>
      </c>
      <c r="V2" s="4">
        <v>72.239999999999995</v>
      </c>
      <c r="W2" s="4">
        <v>72.3</v>
      </c>
      <c r="X2" s="2">
        <v>72.78</v>
      </c>
      <c r="Y2" s="2">
        <v>72.84</v>
      </c>
      <c r="Z2" s="2">
        <v>72.959999999999994</v>
      </c>
      <c r="AA2" s="2">
        <v>72.569999999999993</v>
      </c>
      <c r="AB2" s="2">
        <v>72.61</v>
      </c>
      <c r="AC2" s="2">
        <v>72.72</v>
      </c>
      <c r="AD2" s="2">
        <v>72.900000000000006</v>
      </c>
      <c r="AE2" s="2">
        <v>72.56</v>
      </c>
      <c r="AF2" s="2">
        <v>72.650000000000006</v>
      </c>
      <c r="AG2" s="3">
        <v>72.14</v>
      </c>
      <c r="AH2" s="3">
        <v>72.260000000000005</v>
      </c>
      <c r="AI2" s="3">
        <v>71.819999999999993</v>
      </c>
      <c r="AJ2" s="3">
        <v>72.38</v>
      </c>
      <c r="AK2" s="3">
        <v>72.53</v>
      </c>
      <c r="AL2" s="3">
        <v>72.97</v>
      </c>
      <c r="AM2" s="3">
        <v>73.05</v>
      </c>
      <c r="AN2" s="3">
        <v>72.13</v>
      </c>
      <c r="AO2" s="3">
        <v>72.209999999999994</v>
      </c>
      <c r="AP2" s="3">
        <v>72.25</v>
      </c>
    </row>
    <row r="3" spans="1:42" x14ac:dyDescent="0.25">
      <c r="A3" s="1">
        <v>25</v>
      </c>
      <c r="B3" s="1">
        <v>71.760000000000005</v>
      </c>
      <c r="C3" s="1">
        <v>71.930000000000007</v>
      </c>
      <c r="D3" s="1">
        <v>71.83</v>
      </c>
      <c r="E3" s="1">
        <v>71.599999999999994</v>
      </c>
      <c r="F3" s="1">
        <v>71.83</v>
      </c>
      <c r="G3" s="1">
        <v>71.8</v>
      </c>
      <c r="H3" s="1">
        <v>71.599999999999994</v>
      </c>
      <c r="I3" s="1">
        <v>72.03</v>
      </c>
      <c r="J3" s="1">
        <v>72.13</v>
      </c>
      <c r="K3" s="4">
        <v>72.22</v>
      </c>
      <c r="L3" s="4">
        <v>72.11</v>
      </c>
      <c r="M3" s="4">
        <v>71.930000000000007</v>
      </c>
      <c r="N3" s="4">
        <v>71.95</v>
      </c>
      <c r="O3" s="4">
        <v>71.89</v>
      </c>
      <c r="P3" s="4">
        <v>71.989999999999995</v>
      </c>
      <c r="Q3" s="4">
        <v>71.92</v>
      </c>
      <c r="R3" s="4">
        <v>71.78</v>
      </c>
      <c r="S3" s="4">
        <v>71.64</v>
      </c>
      <c r="T3" s="4"/>
      <c r="U3" s="2">
        <v>72.069999999999993</v>
      </c>
      <c r="V3" s="2">
        <v>72.42</v>
      </c>
      <c r="W3" s="2">
        <v>71.739999999999995</v>
      </c>
      <c r="X3" s="2">
        <v>71.94</v>
      </c>
      <c r="Y3" s="2">
        <v>72.39</v>
      </c>
      <c r="Z3" s="2">
        <v>72.33</v>
      </c>
      <c r="AA3" s="2">
        <v>72.239999999999995</v>
      </c>
      <c r="AB3" s="2">
        <v>72.44</v>
      </c>
      <c r="AC3" s="2">
        <v>72.510000000000005</v>
      </c>
      <c r="AD3" s="3">
        <v>71.59</v>
      </c>
      <c r="AE3" s="3">
        <v>71.56</v>
      </c>
      <c r="AF3" s="3">
        <v>71.650000000000006</v>
      </c>
      <c r="AG3" s="3">
        <v>71.88</v>
      </c>
      <c r="AH3" s="3">
        <v>71.8</v>
      </c>
      <c r="AI3" s="3">
        <v>71.75</v>
      </c>
      <c r="AJ3" s="3">
        <v>72</v>
      </c>
      <c r="AK3" s="3">
        <v>71.989999999999995</v>
      </c>
      <c r="AL3" s="3">
        <v>71.69</v>
      </c>
      <c r="AM3" s="3">
        <v>71.88</v>
      </c>
    </row>
    <row r="4" spans="1:42" x14ac:dyDescent="0.25">
      <c r="A4" s="1">
        <v>30</v>
      </c>
      <c r="B4" s="1">
        <v>69.98</v>
      </c>
      <c r="C4" s="1">
        <v>70.94</v>
      </c>
      <c r="D4" s="1">
        <v>70.959999999999994</v>
      </c>
      <c r="E4" s="1">
        <v>71.34</v>
      </c>
      <c r="F4" s="1">
        <v>71.959999999999994</v>
      </c>
      <c r="G4" s="1">
        <v>70.47</v>
      </c>
      <c r="H4" s="1">
        <v>70.83</v>
      </c>
      <c r="I4" s="1">
        <v>70.89</v>
      </c>
      <c r="J4" s="1">
        <v>70.91</v>
      </c>
      <c r="K4" s="4">
        <v>71.430000000000007</v>
      </c>
      <c r="L4" s="4">
        <v>71.31</v>
      </c>
      <c r="M4" s="4">
        <v>71.510000000000005</v>
      </c>
      <c r="N4" s="4">
        <v>71.03</v>
      </c>
      <c r="O4" s="4">
        <v>71.03</v>
      </c>
      <c r="P4" s="4">
        <v>71.27</v>
      </c>
      <c r="Q4" s="4">
        <v>71.52</v>
      </c>
      <c r="R4" s="4">
        <v>71.44</v>
      </c>
      <c r="S4" s="4">
        <v>71.28</v>
      </c>
      <c r="T4" s="4"/>
      <c r="U4" s="2">
        <v>71.55</v>
      </c>
      <c r="V4" s="2">
        <v>71.599999999999994</v>
      </c>
      <c r="W4" s="2">
        <v>71.400000000000006</v>
      </c>
      <c r="X4" s="2">
        <v>71.510000000000005</v>
      </c>
      <c r="Y4" s="2">
        <v>71.349999999999994</v>
      </c>
      <c r="Z4" s="2">
        <v>71.7</v>
      </c>
      <c r="AA4" s="2">
        <v>71.400000000000006</v>
      </c>
      <c r="AB4" s="2">
        <v>71.12</v>
      </c>
      <c r="AC4" s="2">
        <v>71.25</v>
      </c>
      <c r="AD4" s="3">
        <v>70.17</v>
      </c>
      <c r="AE4" s="3">
        <v>70.06</v>
      </c>
      <c r="AF4" s="3">
        <v>69.77</v>
      </c>
      <c r="AG4" s="3">
        <v>70.209999999999994</v>
      </c>
      <c r="AH4" s="3">
        <v>70.180000000000007</v>
      </c>
      <c r="AI4" s="3">
        <v>70.2</v>
      </c>
      <c r="AJ4" s="3">
        <v>69.989999999999995</v>
      </c>
      <c r="AK4" s="3">
        <v>70.28</v>
      </c>
      <c r="AL4" s="3">
        <v>69.900000000000006</v>
      </c>
      <c r="AM4" s="3"/>
    </row>
    <row r="5" spans="1:42" x14ac:dyDescent="0.25">
      <c r="A5" s="1">
        <v>35</v>
      </c>
      <c r="B5" s="1">
        <v>70.27</v>
      </c>
      <c r="C5" s="1">
        <v>70.25</v>
      </c>
      <c r="D5" s="1">
        <v>70.31</v>
      </c>
      <c r="E5" s="1">
        <v>70.2</v>
      </c>
      <c r="F5" s="1">
        <v>70.58</v>
      </c>
      <c r="G5" s="1">
        <v>70.33</v>
      </c>
      <c r="H5" s="1">
        <v>70.34</v>
      </c>
      <c r="I5" s="1">
        <v>70.27</v>
      </c>
      <c r="J5" s="1">
        <v>70.31</v>
      </c>
      <c r="K5" s="4">
        <v>70.87</v>
      </c>
      <c r="L5" s="4">
        <v>70.97</v>
      </c>
      <c r="M5" s="4">
        <v>71.13</v>
      </c>
      <c r="N5" s="4">
        <v>71.239999999999995</v>
      </c>
      <c r="O5" s="4">
        <v>70.790000000000006</v>
      </c>
      <c r="P5" s="4">
        <v>70.709999999999994</v>
      </c>
      <c r="Q5" s="4">
        <v>70.77</v>
      </c>
      <c r="R5" s="4">
        <v>70.56</v>
      </c>
      <c r="S5" s="4">
        <v>70.94</v>
      </c>
      <c r="T5" s="4"/>
      <c r="U5" s="2">
        <v>70.64</v>
      </c>
      <c r="V5" s="2">
        <v>70.56</v>
      </c>
      <c r="W5" s="2">
        <v>70.69</v>
      </c>
      <c r="X5" s="2">
        <v>70.66</v>
      </c>
      <c r="Y5" s="2">
        <v>70.84</v>
      </c>
      <c r="Z5" s="2">
        <v>70.89</v>
      </c>
      <c r="AA5" s="2">
        <v>70.510000000000005</v>
      </c>
      <c r="AB5" s="2">
        <v>70.77</v>
      </c>
      <c r="AC5" s="2">
        <v>70.260000000000005</v>
      </c>
      <c r="AD5" s="3">
        <v>68.989999999999995</v>
      </c>
      <c r="AE5" s="3">
        <v>69.14</v>
      </c>
      <c r="AF5" s="3">
        <v>68.650000000000006</v>
      </c>
      <c r="AG5" s="3">
        <v>69.06</v>
      </c>
      <c r="AH5" s="3">
        <v>68.91</v>
      </c>
      <c r="AI5" s="3">
        <v>68.97</v>
      </c>
      <c r="AJ5" s="3">
        <v>68.66</v>
      </c>
      <c r="AK5" s="3">
        <v>69.2</v>
      </c>
      <c r="AL5" s="3">
        <v>69.16</v>
      </c>
      <c r="AM5" s="3"/>
    </row>
  </sheetData>
  <mergeCells count="1">
    <mergeCell ref="B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5BACC2B8EDD248A0D225192B21ECB7" ma:contentTypeVersion="12" ma:contentTypeDescription="Create a new document." ma:contentTypeScope="" ma:versionID="d7de1121c933a64f1c728f6728900264">
  <xsd:schema xmlns:xsd="http://www.w3.org/2001/XMLSchema" xmlns:xs="http://www.w3.org/2001/XMLSchema" xmlns:p="http://schemas.microsoft.com/office/2006/metadata/properties" xmlns:ns3="32f09959-c94b-431d-84c8-621f4667bc91" xmlns:ns4="b539e1fa-7afa-4d80-a19b-40c27c9ee331" targetNamespace="http://schemas.microsoft.com/office/2006/metadata/properties" ma:root="true" ma:fieldsID="549fb61689461987c7a57d6ff3f425c6" ns3:_="" ns4:_="">
    <xsd:import namespace="32f09959-c94b-431d-84c8-621f4667bc91"/>
    <xsd:import namespace="b539e1fa-7afa-4d80-a19b-40c27c9ee33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09959-c94b-431d-84c8-621f4667bc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9e1fa-7afa-4d80-a19b-40c27c9ee33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f09959-c94b-431d-84c8-621f4667bc91" xsi:nil="true"/>
  </documentManagement>
</p:properties>
</file>

<file path=customXml/itemProps1.xml><?xml version="1.0" encoding="utf-8"?>
<ds:datastoreItem xmlns:ds="http://schemas.openxmlformats.org/officeDocument/2006/customXml" ds:itemID="{FC713C03-DA58-450F-812A-BE6C9F7C971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2f09959-c94b-431d-84c8-621f4667bc91"/>
    <ds:schemaRef ds:uri="b539e1fa-7afa-4d80-a19b-40c27c9ee33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F66B62-C8E1-4F6B-9B0F-EEFFDA80F5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58703D-57E0-45E0-A2E5-B7A81A85FFA6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b539e1fa-7afa-4d80-a19b-40c27c9ee331"/>
    <ds:schemaRef ds:uri="http://schemas.microsoft.com/office/infopath/2007/PartnerControls"/>
    <ds:schemaRef ds:uri="32f09959-c94b-431d-84c8-621f4667bc9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H2O</vt:lpstr>
      <vt:lpstr>Sacarosa 10%</vt:lpstr>
      <vt:lpstr>sacarosa 20%</vt:lpstr>
      <vt:lpstr>Sacarosa 30%</vt:lpstr>
      <vt:lpstr>Glucose 10%</vt:lpstr>
      <vt:lpstr>GLUCOSE 20%</vt:lpstr>
      <vt:lpstr>Glu 30</vt:lpstr>
      <vt:lpstr>thr 10%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XIMENA JUAREZ MARTINEZ</dc:creator>
  <cp:lastModifiedBy>PAOLA XIMENA JUAREZ MARTINEZ</cp:lastModifiedBy>
  <dcterms:created xsi:type="dcterms:W3CDTF">2024-03-21T16:16:00Z</dcterms:created>
  <dcterms:modified xsi:type="dcterms:W3CDTF">2024-11-08T18:55:04Z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0x010100AB5BACC2B8EDD248A0D225192B21ECB7</vt:lpwstr>
  </property>
</Properties>
</file>